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Work\byclass\UK\CMF_Assessment\"/>
    </mc:Choice>
  </mc:AlternateContent>
  <xr:revisionPtr revIDLastSave="0" documentId="13_ncr:1_{1D725DD3-58ED-4A5D-9854-B656B8C2E799}" xr6:coauthVersionLast="47" xr6:coauthVersionMax="47" xr10:uidLastSave="{00000000-0000-0000-0000-000000000000}"/>
  <bookViews>
    <workbookView xWindow="-108" yWindow="-108" windowWidth="23256" windowHeight="12456" xr2:uid="{51C4FAAC-85DA-4552-A92E-15740E4720BA}"/>
  </bookViews>
  <sheets>
    <sheet name="Q1-4" sheetId="5" r:id="rId1"/>
    <sheet name="Q5-7" sheetId="8" r:id="rId2"/>
  </sheets>
  <functionGroups builtInGroupCount="19"/>
  <definedNames>
    <definedName name="solver_adj" localSheetId="0" hidden="1">'Q1-4'!$K$21:$M$21</definedName>
    <definedName name="solver_cvg" localSheetId="0" hidden="1">0.0001</definedName>
    <definedName name="solver_drv" localSheetId="0" hidden="1">1</definedName>
    <definedName name="solver_eng" localSheetId="0" hidden="1">1</definedName>
    <definedName name="solver_est" localSheetId="0" hidden="1">1</definedName>
    <definedName name="solver_itr" localSheetId="0" hidden="1">2147483647</definedName>
    <definedName name="solver_lhs1" localSheetId="0" hidden="1">'Q1-4'!$N$21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1</definedName>
    <definedName name="solver_nod" localSheetId="0" hidden="1">2147483647</definedName>
    <definedName name="solver_num" localSheetId="0" hidden="1">1</definedName>
    <definedName name="solver_nwt" localSheetId="0" hidden="1">1</definedName>
    <definedName name="solver_opt" localSheetId="0" hidden="1">'Q1-4'!$L$25</definedName>
    <definedName name="solver_pre" localSheetId="0" hidden="1">0.000001</definedName>
    <definedName name="solver_rbv" localSheetId="0" hidden="1">1</definedName>
    <definedName name="solver_rel1" localSheetId="0" hidden="1">2</definedName>
    <definedName name="solver_rhs1" localSheetId="0" hidden="1">1</definedName>
    <definedName name="solver_rlx" localSheetId="0" hidden="1">2</definedName>
    <definedName name="solver_rsd" localSheetId="0" hidden="1">0</definedName>
    <definedName name="solver_scl" localSheetId="0" hidden="1">1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0.01</definedName>
    <definedName name="solver_typ" localSheetId="0" hidden="1">2</definedName>
    <definedName name="solver_val" localSheetId="0" hidden="1">1.11</definedName>
    <definedName name="solver_ver" localSheetId="0" hidden="1">3</definedName>
  </definedNames>
  <calcPr calcId="191029" iterate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9" i="8" l="1"/>
  <c r="K13" i="5" a="1"/>
  <c r="K13" i="5" s="1"/>
  <c r="R15" i="5"/>
  <c r="Q14" i="5"/>
  <c r="R14" i="5"/>
  <c r="R13" i="5"/>
  <c r="Q13" i="5"/>
  <c r="P13" i="5"/>
  <c r="J5" i="5"/>
  <c r="K4" i="5"/>
  <c r="L4" i="5"/>
  <c r="N4" i="5"/>
  <c r="J4" i="5" s="1"/>
  <c r="K3" i="5"/>
  <c r="L3" i="5"/>
  <c r="J3" i="5"/>
  <c r="J2" i="5"/>
  <c r="C4" i="8" s="1"/>
  <c r="C10" i="8"/>
  <c r="K5" i="8" s="1"/>
  <c r="C8" i="8"/>
  <c r="C7" i="8"/>
  <c r="C6" i="8"/>
  <c r="C5" i="8"/>
  <c r="N21" i="5"/>
  <c r="K7" i="5" a="1"/>
  <c r="L7" i="5" a="1"/>
  <c r="J7" i="5" a="1"/>
  <c r="L8" i="5" a="1"/>
  <c r="K8" i="5" a="1"/>
  <c r="J8" i="5" a="1"/>
  <c r="G8" i="8" l="1"/>
  <c r="L7" i="5"/>
  <c r="K7" i="5"/>
  <c r="J7" i="5"/>
  <c r="G13" i="8"/>
  <c r="H8" i="8"/>
  <c r="H13" i="8"/>
  <c r="K8" i="5"/>
  <c r="L8" i="5"/>
  <c r="J8" i="5"/>
  <c r="H7" i="8"/>
  <c r="G7" i="8"/>
  <c r="H6" i="8"/>
  <c r="G6" i="8"/>
  <c r="H11" i="8"/>
  <c r="H12" i="8"/>
  <c r="G12" i="8"/>
  <c r="C11" i="8"/>
  <c r="G11" i="8"/>
  <c r="G5" i="8"/>
  <c r="H10" i="8"/>
  <c r="H5" i="8"/>
  <c r="G10" i="8"/>
  <c r="H15" i="8"/>
  <c r="H9" i="8"/>
  <c r="G15" i="8"/>
  <c r="G9" i="8"/>
  <c r="H14" i="8"/>
  <c r="G14" i="8"/>
  <c r="C12" i="8"/>
  <c r="C14" i="8" l="1"/>
  <c r="C13" i="8"/>
  <c r="C16" i="8" s="1"/>
  <c r="C17" i="8" l="1"/>
  <c r="C19" i="8" s="1"/>
  <c r="C20" i="8" s="1"/>
  <c r="J6" i="8" s="1"/>
  <c r="C18" i="8" l="1"/>
  <c r="J15" i="5"/>
  <c r="O15" i="5" s="1"/>
  <c r="J14" i="5"/>
  <c r="J13" i="5"/>
  <c r="O13" i="5" s="1"/>
  <c r="L12" i="5"/>
  <c r="M12" i="5"/>
  <c r="K12" i="5"/>
  <c r="N3" i="5"/>
  <c r="K1" i="5"/>
  <c r="L1" i="5"/>
  <c r="J1" i="5"/>
  <c r="E61" i="5"/>
  <c r="F61" i="5"/>
  <c r="G61" i="5"/>
  <c r="E62" i="5"/>
  <c r="F62" i="5"/>
  <c r="G62" i="5"/>
  <c r="E63" i="5"/>
  <c r="F63" i="5"/>
  <c r="G63" i="5"/>
  <c r="E64" i="5"/>
  <c r="F64" i="5"/>
  <c r="G64" i="5"/>
  <c r="E65" i="5"/>
  <c r="F65" i="5"/>
  <c r="G65" i="5"/>
  <c r="E66" i="5"/>
  <c r="F66" i="5"/>
  <c r="G66" i="5"/>
  <c r="E67" i="5"/>
  <c r="F67" i="5"/>
  <c r="G67" i="5"/>
  <c r="E68" i="5"/>
  <c r="F68" i="5"/>
  <c r="G68" i="5"/>
  <c r="E69" i="5"/>
  <c r="F69" i="5"/>
  <c r="G69" i="5"/>
  <c r="E70" i="5"/>
  <c r="F70" i="5"/>
  <c r="G70" i="5"/>
  <c r="E71" i="5"/>
  <c r="F71" i="5"/>
  <c r="G71" i="5"/>
  <c r="E72" i="5"/>
  <c r="F72" i="5"/>
  <c r="G72" i="5"/>
  <c r="E73" i="5"/>
  <c r="F73" i="5"/>
  <c r="G73" i="5"/>
  <c r="E74" i="5"/>
  <c r="F74" i="5"/>
  <c r="G74" i="5"/>
  <c r="E75" i="5"/>
  <c r="F75" i="5"/>
  <c r="G75" i="5"/>
  <c r="E76" i="5"/>
  <c r="F76" i="5"/>
  <c r="G76" i="5"/>
  <c r="E77" i="5"/>
  <c r="F77" i="5"/>
  <c r="G77" i="5"/>
  <c r="E78" i="5"/>
  <c r="F78" i="5"/>
  <c r="G78" i="5"/>
  <c r="E79" i="5"/>
  <c r="F79" i="5"/>
  <c r="G79" i="5"/>
  <c r="E80" i="5"/>
  <c r="F80" i="5"/>
  <c r="G80" i="5"/>
  <c r="E81" i="5"/>
  <c r="F81" i="5"/>
  <c r="G81" i="5"/>
  <c r="E82" i="5"/>
  <c r="F82" i="5"/>
  <c r="G82" i="5"/>
  <c r="E83" i="5"/>
  <c r="F83" i="5"/>
  <c r="G83" i="5"/>
  <c r="E84" i="5"/>
  <c r="F84" i="5"/>
  <c r="G84" i="5"/>
  <c r="E85" i="5"/>
  <c r="F85" i="5"/>
  <c r="G85" i="5"/>
  <c r="E86" i="5"/>
  <c r="F86" i="5"/>
  <c r="G86" i="5"/>
  <c r="E87" i="5"/>
  <c r="F87" i="5"/>
  <c r="G87" i="5"/>
  <c r="E88" i="5"/>
  <c r="F88" i="5"/>
  <c r="G88" i="5"/>
  <c r="E89" i="5"/>
  <c r="F89" i="5"/>
  <c r="G89" i="5"/>
  <c r="E90" i="5"/>
  <c r="F90" i="5"/>
  <c r="G90" i="5"/>
  <c r="E91" i="5"/>
  <c r="F91" i="5"/>
  <c r="G91" i="5"/>
  <c r="E92" i="5"/>
  <c r="F92" i="5"/>
  <c r="G92" i="5"/>
  <c r="E93" i="5"/>
  <c r="F93" i="5"/>
  <c r="G93" i="5"/>
  <c r="E94" i="5"/>
  <c r="F94" i="5"/>
  <c r="G94" i="5"/>
  <c r="E95" i="5"/>
  <c r="F95" i="5"/>
  <c r="G95" i="5"/>
  <c r="E96" i="5"/>
  <c r="F96" i="5"/>
  <c r="G96" i="5"/>
  <c r="E97" i="5"/>
  <c r="F97" i="5"/>
  <c r="G97" i="5"/>
  <c r="E98" i="5"/>
  <c r="F98" i="5"/>
  <c r="G98" i="5"/>
  <c r="E99" i="5"/>
  <c r="F99" i="5"/>
  <c r="G99" i="5"/>
  <c r="E100" i="5"/>
  <c r="F100" i="5"/>
  <c r="G100" i="5"/>
  <c r="E101" i="5"/>
  <c r="F101" i="5"/>
  <c r="G101" i="5"/>
  <c r="E102" i="5"/>
  <c r="F102" i="5"/>
  <c r="G102" i="5"/>
  <c r="E103" i="5"/>
  <c r="F103" i="5"/>
  <c r="G103" i="5"/>
  <c r="E104" i="5"/>
  <c r="F104" i="5"/>
  <c r="G104" i="5"/>
  <c r="E105" i="5"/>
  <c r="F105" i="5"/>
  <c r="G105" i="5"/>
  <c r="E106" i="5"/>
  <c r="F106" i="5"/>
  <c r="G106" i="5"/>
  <c r="E107" i="5"/>
  <c r="F107" i="5"/>
  <c r="G107" i="5"/>
  <c r="E108" i="5"/>
  <c r="F108" i="5"/>
  <c r="G108" i="5"/>
  <c r="E109" i="5"/>
  <c r="F109" i="5"/>
  <c r="G109" i="5"/>
  <c r="E110" i="5"/>
  <c r="F110" i="5"/>
  <c r="G110" i="5"/>
  <c r="E111" i="5"/>
  <c r="F111" i="5"/>
  <c r="G111" i="5"/>
  <c r="E112" i="5"/>
  <c r="F112" i="5"/>
  <c r="G112" i="5"/>
  <c r="E113" i="5"/>
  <c r="F113" i="5"/>
  <c r="G113" i="5"/>
  <c r="E114" i="5"/>
  <c r="F114" i="5"/>
  <c r="G114" i="5"/>
  <c r="E115" i="5"/>
  <c r="F115" i="5"/>
  <c r="G115" i="5"/>
  <c r="E116" i="5"/>
  <c r="F116" i="5"/>
  <c r="G116" i="5"/>
  <c r="E117" i="5"/>
  <c r="F117" i="5"/>
  <c r="G117" i="5"/>
  <c r="E118" i="5"/>
  <c r="F118" i="5"/>
  <c r="G118" i="5"/>
  <c r="E119" i="5"/>
  <c r="F119" i="5"/>
  <c r="G119" i="5"/>
  <c r="E120" i="5"/>
  <c r="F120" i="5"/>
  <c r="G120" i="5"/>
  <c r="E121" i="5"/>
  <c r="F121" i="5"/>
  <c r="G121" i="5"/>
  <c r="E122" i="5"/>
  <c r="F122" i="5"/>
  <c r="G122" i="5"/>
  <c r="E123" i="5"/>
  <c r="F123" i="5"/>
  <c r="G123" i="5"/>
  <c r="E124" i="5"/>
  <c r="F124" i="5"/>
  <c r="G124" i="5"/>
  <c r="E125" i="5"/>
  <c r="F125" i="5"/>
  <c r="G125" i="5"/>
  <c r="E126" i="5"/>
  <c r="F126" i="5"/>
  <c r="G126" i="5"/>
  <c r="F1" i="5"/>
  <c r="G1" i="5"/>
  <c r="E1" i="5"/>
  <c r="G2" i="5"/>
  <c r="L5" i="5" s="1"/>
  <c r="F2" i="5"/>
  <c r="E2" i="5"/>
  <c r="G60" i="5"/>
  <c r="F60" i="5"/>
  <c r="E60" i="5"/>
  <c r="G59" i="5"/>
  <c r="F59" i="5"/>
  <c r="E59" i="5"/>
  <c r="G58" i="5"/>
  <c r="F58" i="5"/>
  <c r="E58" i="5"/>
  <c r="G57" i="5"/>
  <c r="F57" i="5"/>
  <c r="E57" i="5"/>
  <c r="G56" i="5"/>
  <c r="F56" i="5"/>
  <c r="E56" i="5"/>
  <c r="G55" i="5"/>
  <c r="F55" i="5"/>
  <c r="E55" i="5"/>
  <c r="G54" i="5"/>
  <c r="F54" i="5"/>
  <c r="E54" i="5"/>
  <c r="G53" i="5"/>
  <c r="F53" i="5"/>
  <c r="E53" i="5"/>
  <c r="G52" i="5"/>
  <c r="F52" i="5"/>
  <c r="E52" i="5"/>
  <c r="G51" i="5"/>
  <c r="F51" i="5"/>
  <c r="E51" i="5"/>
  <c r="G50" i="5"/>
  <c r="F50" i="5"/>
  <c r="E50" i="5"/>
  <c r="G49" i="5"/>
  <c r="F49" i="5"/>
  <c r="E49" i="5"/>
  <c r="G48" i="5"/>
  <c r="F48" i="5"/>
  <c r="E48" i="5"/>
  <c r="G47" i="5"/>
  <c r="F47" i="5"/>
  <c r="E47" i="5"/>
  <c r="G46" i="5"/>
  <c r="F46" i="5"/>
  <c r="E46" i="5"/>
  <c r="G45" i="5"/>
  <c r="F45" i="5"/>
  <c r="E45" i="5"/>
  <c r="G44" i="5"/>
  <c r="F44" i="5"/>
  <c r="E44" i="5"/>
  <c r="G43" i="5"/>
  <c r="F43" i="5"/>
  <c r="E43" i="5"/>
  <c r="G42" i="5"/>
  <c r="F42" i="5"/>
  <c r="E42" i="5"/>
  <c r="G41" i="5"/>
  <c r="F41" i="5"/>
  <c r="E41" i="5"/>
  <c r="G40" i="5"/>
  <c r="F40" i="5"/>
  <c r="E40" i="5"/>
  <c r="G39" i="5"/>
  <c r="F39" i="5"/>
  <c r="E39" i="5"/>
  <c r="G38" i="5"/>
  <c r="F38" i="5"/>
  <c r="E38" i="5"/>
  <c r="G37" i="5"/>
  <c r="F37" i="5"/>
  <c r="E37" i="5"/>
  <c r="G36" i="5"/>
  <c r="F36" i="5"/>
  <c r="E36" i="5"/>
  <c r="G35" i="5"/>
  <c r="F35" i="5"/>
  <c r="E35" i="5"/>
  <c r="G34" i="5"/>
  <c r="F34" i="5"/>
  <c r="E34" i="5"/>
  <c r="G33" i="5"/>
  <c r="F33" i="5"/>
  <c r="E33" i="5"/>
  <c r="G32" i="5"/>
  <c r="F32" i="5"/>
  <c r="E32" i="5"/>
  <c r="G31" i="5"/>
  <c r="F31" i="5"/>
  <c r="E31" i="5"/>
  <c r="G30" i="5"/>
  <c r="F30" i="5"/>
  <c r="E30" i="5"/>
  <c r="G29" i="5"/>
  <c r="F29" i="5"/>
  <c r="E29" i="5"/>
  <c r="G28" i="5"/>
  <c r="F28" i="5"/>
  <c r="E28" i="5"/>
  <c r="G27" i="5"/>
  <c r="F27" i="5"/>
  <c r="E27" i="5"/>
  <c r="G26" i="5"/>
  <c r="F26" i="5"/>
  <c r="E26" i="5"/>
  <c r="G25" i="5"/>
  <c r="F25" i="5"/>
  <c r="E25" i="5"/>
  <c r="G24" i="5"/>
  <c r="F24" i="5"/>
  <c r="E24" i="5"/>
  <c r="G23" i="5"/>
  <c r="F23" i="5"/>
  <c r="E23" i="5"/>
  <c r="G22" i="5"/>
  <c r="F22" i="5"/>
  <c r="E22" i="5"/>
  <c r="G21" i="5"/>
  <c r="F21" i="5"/>
  <c r="E21" i="5"/>
  <c r="G20" i="5"/>
  <c r="F20" i="5"/>
  <c r="E20" i="5"/>
  <c r="G19" i="5"/>
  <c r="F19" i="5"/>
  <c r="E19" i="5"/>
  <c r="G18" i="5"/>
  <c r="F18" i="5"/>
  <c r="E18" i="5"/>
  <c r="G17" i="5"/>
  <c r="F17" i="5"/>
  <c r="E17" i="5"/>
  <c r="G16" i="5"/>
  <c r="F16" i="5"/>
  <c r="E16" i="5"/>
  <c r="G15" i="5"/>
  <c r="F15" i="5"/>
  <c r="E15" i="5"/>
  <c r="G14" i="5"/>
  <c r="F14" i="5"/>
  <c r="E14" i="5"/>
  <c r="G13" i="5"/>
  <c r="F13" i="5"/>
  <c r="E13" i="5"/>
  <c r="G12" i="5"/>
  <c r="F12" i="5"/>
  <c r="E12" i="5"/>
  <c r="G11" i="5"/>
  <c r="F11" i="5"/>
  <c r="E11" i="5"/>
  <c r="G10" i="5"/>
  <c r="F10" i="5"/>
  <c r="E10" i="5"/>
  <c r="G9" i="5"/>
  <c r="F9" i="5"/>
  <c r="E9" i="5"/>
  <c r="G8" i="5"/>
  <c r="F8" i="5"/>
  <c r="E8" i="5"/>
  <c r="G7" i="5"/>
  <c r="F7" i="5"/>
  <c r="E7" i="5"/>
  <c r="G6" i="5"/>
  <c r="F6" i="5"/>
  <c r="E6" i="5"/>
  <c r="G5" i="5"/>
  <c r="F5" i="5"/>
  <c r="E5" i="5"/>
  <c r="G4" i="5"/>
  <c r="F4" i="5"/>
  <c r="E4" i="5"/>
  <c r="G3" i="5"/>
  <c r="F3" i="5"/>
  <c r="E3" i="5"/>
  <c r="C21" i="8" l="1"/>
  <c r="C28" i="8"/>
  <c r="K6" i="8"/>
  <c r="L2" i="5"/>
  <c r="K2" i="5"/>
  <c r="M20" i="5"/>
  <c r="R12" i="5"/>
  <c r="Q15" i="5"/>
  <c r="L20" i="5"/>
  <c r="Q12" i="5"/>
  <c r="L25" i="5" a="1"/>
  <c r="L25" i="5" s="1"/>
  <c r="L26" i="5" s="1"/>
  <c r="P15" i="5"/>
  <c r="P14" i="5"/>
  <c r="K5" i="5"/>
  <c r="O14" i="5"/>
  <c r="K20" i="5"/>
  <c r="P12" i="5"/>
  <c r="C30" i="8" l="1"/>
  <c r="J7" i="8" s="1"/>
  <c r="K7" i="8"/>
  <c r="L24" i="5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<sst xmlns="http://schemas.openxmlformats.org/spreadsheetml/2006/main" count="48" uniqueCount="43">
  <si>
    <t>Date</t>
  </si>
  <si>
    <t>Variance-covariance matrix (S)</t>
  </si>
  <si>
    <t>Weight</t>
  </si>
  <si>
    <t>E[Rp]</t>
  </si>
  <si>
    <t>Total</t>
  </si>
  <si>
    <t>AAPL</t>
  </si>
  <si>
    <t>GOOG</t>
  </si>
  <si>
    <t>COST</t>
  </si>
  <si>
    <t>Daily Volatility</t>
  </si>
  <si>
    <t>Daily Mean Return</t>
  </si>
  <si>
    <t>CAGR</t>
  </si>
  <si>
    <t>Annualized volatility</t>
  </si>
  <si>
    <t>&lt;&lt;MIN</t>
  </si>
  <si>
    <t>cov</t>
    <phoneticPr fontId="0" type="noConversion"/>
  </si>
  <si>
    <t>W1</t>
    <phoneticPr fontId="0" type="noConversion"/>
  </si>
  <si>
    <t>W2</t>
    <phoneticPr fontId="0" type="noConversion"/>
  </si>
  <si>
    <t>Varp</t>
    <phoneticPr fontId="0" type="noConversion"/>
  </si>
  <si>
    <t>Rf</t>
    <phoneticPr fontId="0" type="noConversion"/>
  </si>
  <si>
    <t>Premium 1</t>
    <phoneticPr fontId="0" type="noConversion"/>
  </si>
  <si>
    <t>Premium 2</t>
    <phoneticPr fontId="0" type="noConversion"/>
  </si>
  <si>
    <t>T1</t>
    <phoneticPr fontId="0" type="noConversion"/>
  </si>
  <si>
    <t>T2</t>
    <phoneticPr fontId="0" type="noConversion"/>
  </si>
  <si>
    <t>Reward-to-Variability ratio</t>
    <phoneticPr fontId="0" type="noConversion"/>
  </si>
  <si>
    <t>mu1 (AAPL)</t>
  </si>
  <si>
    <t>s1 (AAPL)</t>
  </si>
  <si>
    <t>mu2 (GOOG)</t>
  </si>
  <si>
    <t>s2 (GOOG)</t>
  </si>
  <si>
    <t>Sp</t>
  </si>
  <si>
    <t>CML</t>
  </si>
  <si>
    <t>Assume</t>
  </si>
  <si>
    <t>A=</t>
  </si>
  <si>
    <t>sigma_T</t>
  </si>
  <si>
    <t>E[R_T]</t>
  </si>
  <si>
    <t>W_T*</t>
  </si>
  <si>
    <t>E[R_C]=</t>
  </si>
  <si>
    <t>sigma_C</t>
  </si>
  <si>
    <t>Using VBA:</t>
  </si>
  <si>
    <t>Global Minimum Variance Portfolio (GMVP)</t>
  </si>
  <si>
    <t>sigma_GMVP</t>
  </si>
  <si>
    <t>E[R_GMVP]</t>
  </si>
  <si>
    <t>Var(R_GMVP)</t>
  </si>
  <si>
    <t>Optimal tangency portfolio</t>
  </si>
  <si>
    <t>Optimal complete portfolio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</si>
</sst>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3" formatCode="_(* #,##0.00_);_(* \(#,##0.00\);_(* &quot;-&quot;??_);_(@_)"/>
    <numFmt numFmtId="164" formatCode="0.0000"/>
    <numFmt numFmtId="165" formatCode="0.000000"/>
    <numFmt numFmtId="170" formatCode="_(* #,##0.000000_);_(* \(#,##0.000000\);_(* &quot;-&quot;??_);_(@_)"/>
    <numFmt numFmtId="171" formatCode="0.0000_ "/>
    <numFmt numFmtId="173" formatCode="0.0000000_ "/>
    <numFmt numFmtId="176" formatCode="0.000%"/>
    <numFmt numFmtId="177" formatCode="0.0000%"/>
    <numFmt numFmtId="184" formatCode="_(* #,##0.0000_);_(* \(#,##0.0000\);_(* &quot;-&quot;??_);_(@_)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</cellStyleXfs>
  <cellXfs count="21">
    <xf numFmtId="0" fontId="0" fillId="0" borderId="0" xfId="0"/>
    <xf numFmtId="164" fontId="0" fillId="0" borderId="0" xfId="0" applyNumberFormat="1"/>
    <xf numFmtId="0" fontId="3" fillId="0" borderId="0" xfId="0" applyFont="1" applyAlignment="1">
      <alignment horizontal="center"/>
    </xf>
    <xf numFmtId="164" fontId="0" fillId="2" borderId="0" xfId="0" applyNumberFormat="1" applyFill="1"/>
    <xf numFmtId="165" fontId="0" fillId="0" borderId="0" xfId="0" applyNumberFormat="1"/>
    <xf numFmtId="10" fontId="0" fillId="0" borderId="0" xfId="0" applyNumberFormat="1"/>
    <xf numFmtId="10" fontId="0" fillId="0" borderId="0" xfId="1" applyNumberFormat="1" applyFont="1"/>
    <xf numFmtId="15" fontId="0" fillId="0" borderId="0" xfId="0" applyNumberFormat="1"/>
    <xf numFmtId="4" fontId="0" fillId="0" borderId="0" xfId="0" applyNumberFormat="1"/>
    <xf numFmtId="10" fontId="0" fillId="0" borderId="0" xfId="2" applyNumberFormat="1" applyFont="1"/>
    <xf numFmtId="9" fontId="0" fillId="0" borderId="0" xfId="0" applyNumberFormat="1"/>
    <xf numFmtId="170" fontId="0" fillId="0" borderId="0" xfId="0" applyNumberFormat="1"/>
    <xf numFmtId="171" fontId="0" fillId="0" borderId="0" xfId="0" applyNumberFormat="1"/>
    <xf numFmtId="173" fontId="0" fillId="0" borderId="0" xfId="0" applyNumberFormat="1"/>
    <xf numFmtId="170" fontId="0" fillId="0" borderId="0" xfId="2" applyNumberFormat="1" applyFont="1"/>
    <xf numFmtId="177" fontId="0" fillId="0" borderId="0" xfId="0" applyNumberFormat="1"/>
    <xf numFmtId="176" fontId="0" fillId="0" borderId="0" xfId="1" applyNumberFormat="1" applyFont="1"/>
    <xf numFmtId="184" fontId="0" fillId="0" borderId="0" xfId="2" applyNumberFormat="1" applyFont="1"/>
    <xf numFmtId="177" fontId="0" fillId="0" borderId="0" xfId="1" applyNumberFormat="1" applyFont="1"/>
    <xf numFmtId="0" fontId="2" fillId="0" borderId="0" xfId="0" quotePrefix="1" applyFont="1"/>
    <xf numFmtId="0" fontId="2" fillId="0" borderId="0" xfId="0" applyFont="1"/>
  </cellXfs>
  <cellStyles count="3">
    <cellStyle name="Comma" xfId="2" builtinId="3"/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Optimal Complete Portfolio</a:t>
            </a:r>
            <a:r>
              <a:rPr lang="en-US" b="1" baseline="0"/>
              <a:t> (OCP)</a:t>
            </a:r>
            <a:endParaRPr lang="en-US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'Q5-7'!$H$4</c:f>
              <c:strCache>
                <c:ptCount val="1"/>
                <c:pt idx="0">
                  <c:v>E[Rp]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'Q5-7'!$G$5:$G$15</c:f>
              <c:numCache>
                <c:formatCode>0.000%</c:formatCode>
                <c:ptCount val="11"/>
                <c:pt idx="0">
                  <c:v>1.7818096523897802E-2</c:v>
                </c:pt>
                <c:pt idx="1">
                  <c:v>1.6463049189658026E-2</c:v>
                </c:pt>
                <c:pt idx="2">
                  <c:v>1.5231061009278048E-2</c:v>
                </c:pt>
                <c:pt idx="3">
                  <c:v>1.4154301688062533E-2</c:v>
                </c:pt>
                <c:pt idx="4">
                  <c:v>1.327061034941948E-2</c:v>
                </c:pt>
                <c:pt idx="5">
                  <c:v>1.2620608058910573E-2</c:v>
                </c:pt>
                <c:pt idx="6">
                  <c:v>1.2241576796648673E-2</c:v>
                </c:pt>
                <c:pt idx="7">
                  <c:v>1.2158884123181102E-2</c:v>
                </c:pt>
                <c:pt idx="8">
                  <c:v>1.237847041175659E-2</c:v>
                </c:pt>
                <c:pt idx="9">
                  <c:v>1.2884890465565117E-2</c:v>
                </c:pt>
                <c:pt idx="10">
                  <c:v>1.3646247866925835E-2</c:v>
                </c:pt>
              </c:numCache>
            </c:numRef>
          </c:xVal>
          <c:yVal>
            <c:numRef>
              <c:f>'Q5-7'!$H$5:$H$15</c:f>
              <c:numCache>
                <c:formatCode>0.000%</c:formatCode>
                <c:ptCount val="11"/>
                <c:pt idx="0">
                  <c:v>9.7534062390419154E-4</c:v>
                </c:pt>
                <c:pt idx="1">
                  <c:v>9.5441277477641183E-4</c:v>
                </c:pt>
                <c:pt idx="2">
                  <c:v>9.3348492564863212E-4</c:v>
                </c:pt>
                <c:pt idx="3">
                  <c:v>9.1255707652085219E-4</c:v>
                </c:pt>
                <c:pt idx="4">
                  <c:v>8.9162922739307259E-4</c:v>
                </c:pt>
                <c:pt idx="5">
                  <c:v>8.7070137826529277E-4</c:v>
                </c:pt>
                <c:pt idx="6">
                  <c:v>8.4977352913751306E-4</c:v>
                </c:pt>
                <c:pt idx="7">
                  <c:v>8.2884568000973335E-4</c:v>
                </c:pt>
                <c:pt idx="8">
                  <c:v>8.0791783088195364E-4</c:v>
                </c:pt>
                <c:pt idx="9">
                  <c:v>7.8698998175417382E-4</c:v>
                </c:pt>
                <c:pt idx="10">
                  <c:v>7.660621326263941E-4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457-4350-A212-E0ACA84246FF}"/>
            </c:ext>
          </c:extLst>
        </c:ser>
        <c:ser>
          <c:idx val="1"/>
          <c:order val="1"/>
          <c:spPr>
            <a:ln w="254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Lbl>
              <c:idx val="1"/>
              <c:layout>
                <c:manualLayout>
                  <c:x val="-0.15"/>
                  <c:y val="-9.4942038495188147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Tangency</a:t>
                    </a:r>
                    <a:r>
                      <a:rPr lang="en-US" baseline="0"/>
                      <a:t> Portfolio</a:t>
                    </a:r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3-2457-4350-A212-E0ACA84246F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r>
                      <a:rPr lang="en-US"/>
                      <a:t>OCP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2457-4350-A212-E0ACA84246F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'Q5-7'!$J$5:$J$7</c:f>
              <c:numCache>
                <c:formatCode>0.0000_ </c:formatCode>
                <c:ptCount val="3"/>
                <c:pt idx="0" formatCode="General">
                  <c:v>0</c:v>
                </c:pt>
                <c:pt idx="1">
                  <c:v>1.2387144632524143E-2</c:v>
                </c:pt>
                <c:pt idx="2" formatCode="0.0000%">
                  <c:v>9.3274102631514793E-3</c:v>
                </c:pt>
              </c:numCache>
            </c:numRef>
          </c:xVal>
          <c:yVal>
            <c:numRef>
              <c:f>'Q5-7'!$K$5:$K$7</c:f>
              <c:numCache>
                <c:formatCode>0.0000_ </c:formatCode>
                <c:ptCount val="3"/>
                <c:pt idx="0" formatCode="0.0000%">
                  <c:v>1.6654761904761904E-4</c:v>
                </c:pt>
                <c:pt idx="1">
                  <c:v>8.5978749890690373E-4</c:v>
                </c:pt>
                <c:pt idx="2" formatCode="0.0000%">
                  <c:v>6.8855111235048029E-4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457-4350-A212-E0ACA84246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17486128"/>
        <c:axId val="1486668224"/>
      </c:scatterChart>
      <c:valAx>
        <c:axId val="13174861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sigma_p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86668224"/>
        <c:crosses val="autoZero"/>
        <c:crossBetween val="midCat"/>
      </c:valAx>
      <c:valAx>
        <c:axId val="14866682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E[R_p]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174861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53340</xdr:colOff>
      <xdr:row>10</xdr:row>
      <xdr:rowOff>125730</xdr:rowOff>
    </xdr:from>
    <xdr:to>
      <xdr:col>16</xdr:col>
      <xdr:colOff>358140</xdr:colOff>
      <xdr:row>25</xdr:row>
      <xdr:rowOff>125730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8886EF5-1E0B-5252-592D-6353EDCCC4C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C435D7-7A76-40E7-A7D4-444C8BCB2A03}">
  <sheetPr codeName="Sheet2"/>
  <dimension ref="A1:R127"/>
  <sheetViews>
    <sheetView tabSelected="1" topLeftCell="A4" workbookViewId="0">
      <selection activeCell="I22" sqref="I22"/>
    </sheetView>
  </sheetViews>
  <sheetFormatPr defaultRowHeight="14.4" x14ac:dyDescent="0.3"/>
  <cols>
    <col min="1" max="1" width="9.5546875" bestFit="1" customWidth="1"/>
    <col min="7" max="7" width="11.5546875" bestFit="1" customWidth="1"/>
    <col min="9" max="9" width="17.44140625" bestFit="1" customWidth="1"/>
    <col min="10" max="10" width="14.21875" customWidth="1"/>
    <col min="16" max="18" width="12" bestFit="1" customWidth="1"/>
  </cols>
  <sheetData>
    <row r="1" spans="1:18" x14ac:dyDescent="0.3">
      <c r="A1" t="s">
        <v>0</v>
      </c>
      <c r="B1" t="s">
        <v>5</v>
      </c>
      <c r="C1" t="s">
        <v>6</v>
      </c>
      <c r="D1" t="s">
        <v>7</v>
      </c>
      <c r="E1" t="str">
        <f>B1&amp;"_RET"</f>
        <v>AAPL_RET</v>
      </c>
      <c r="F1" t="str">
        <f t="shared" ref="F1:G1" si="0">C1&amp;"_RET"</f>
        <v>GOOG_RET</v>
      </c>
      <c r="G1" t="str">
        <f t="shared" si="0"/>
        <v>COST_RET</v>
      </c>
      <c r="J1" t="str">
        <f>B1</f>
        <v>AAPL</v>
      </c>
      <c r="K1" t="str">
        <f t="shared" ref="K1:L1" si="1">C1</f>
        <v>GOOG</v>
      </c>
      <c r="L1" t="str">
        <f t="shared" si="1"/>
        <v>COST</v>
      </c>
    </row>
    <row r="2" spans="1:18" x14ac:dyDescent="0.3">
      <c r="A2" s="7">
        <v>45708</v>
      </c>
      <c r="B2">
        <v>245.83</v>
      </c>
      <c r="C2">
        <v>186.64</v>
      </c>
      <c r="D2" s="8">
        <v>1034.83</v>
      </c>
      <c r="E2" s="1">
        <f>B2/B3-1</f>
        <v>3.9204475844325515E-3</v>
      </c>
      <c r="F2" s="1">
        <f>C2/C3-1</f>
        <v>-2.6185005076685419E-3</v>
      </c>
      <c r="G2" s="1">
        <f>D2/D3-1</f>
        <v>-2.6079018201667692E-2</v>
      </c>
      <c r="H2" s="1"/>
      <c r="I2" t="s">
        <v>9</v>
      </c>
      <c r="J2" s="6">
        <f>AVERAGE(E2:E126)</f>
        <v>7.660621326263941E-4</v>
      </c>
      <c r="K2" s="6">
        <f t="shared" ref="K2:L2" si="2">AVERAGE(F2:F126)</f>
        <v>9.7534062390419154E-4</v>
      </c>
      <c r="L2" s="6">
        <f t="shared" si="2"/>
        <v>1.4161994146967799E-3</v>
      </c>
    </row>
    <row r="3" spans="1:18" x14ac:dyDescent="0.3">
      <c r="A3" s="7">
        <v>45707</v>
      </c>
      <c r="B3">
        <v>244.87</v>
      </c>
      <c r="C3">
        <v>187.13</v>
      </c>
      <c r="D3" s="8">
        <v>1062.54</v>
      </c>
      <c r="E3" s="1">
        <f>B3/B4-1</f>
        <v>1.636192579866691E-3</v>
      </c>
      <c r="F3" s="1">
        <f>C3/C4-1</f>
        <v>7.1582346609255776E-3</v>
      </c>
      <c r="G3" s="1">
        <f>D3/D4-1</f>
        <v>6.1645975966591049E-3</v>
      </c>
      <c r="H3" s="1"/>
      <c r="I3" t="s">
        <v>8</v>
      </c>
      <c r="J3" s="6">
        <f>_xlfn.STDEV.P(E2:E126)</f>
        <v>1.3646247866925835E-2</v>
      </c>
      <c r="K3" s="6">
        <f t="shared" ref="K3:L3" si="3">_xlfn.STDEV.P(F2:F126)</f>
        <v>1.7818096523897802E-2</v>
      </c>
      <c r="L3" s="6">
        <f t="shared" si="3"/>
        <v>1.1387175659164405E-2</v>
      </c>
      <c r="N3">
        <f>A2-A127</f>
        <v>184</v>
      </c>
    </row>
    <row r="4" spans="1:18" x14ac:dyDescent="0.3">
      <c r="A4" s="7">
        <v>45706</v>
      </c>
      <c r="B4">
        <v>244.47</v>
      </c>
      <c r="C4">
        <v>185.8</v>
      </c>
      <c r="D4" s="8">
        <v>1056.03</v>
      </c>
      <c r="E4" s="1">
        <f>B4/B5-1</f>
        <v>-5.3147996729352442E-4</v>
      </c>
      <c r="F4" s="1">
        <f>C4/C5-1</f>
        <v>-5.7259057098517641E-3</v>
      </c>
      <c r="G4" s="1">
        <f>D4/D5-1</f>
        <v>-1.4759527919018467E-2</v>
      </c>
      <c r="H4" s="1"/>
      <c r="I4" t="s">
        <v>10</v>
      </c>
      <c r="J4" s="6">
        <f>(B2/B127)^(252/$N$4)-1</f>
        <v>0.18467320953036337</v>
      </c>
      <c r="K4" s="6">
        <f t="shared" ref="K4:L4" si="4">(C2/C127)^(252/$N$4)-1</f>
        <v>0.22817528411103738</v>
      </c>
      <c r="L4" s="6">
        <f t="shared" si="4"/>
        <v>0.40546086342311205</v>
      </c>
      <c r="N4">
        <f>COUNT(B2:B127)-1</f>
        <v>125</v>
      </c>
    </row>
    <row r="5" spans="1:18" x14ac:dyDescent="0.3">
      <c r="A5" s="7">
        <v>45702</v>
      </c>
      <c r="B5">
        <v>244.6</v>
      </c>
      <c r="C5">
        <v>186.87</v>
      </c>
      <c r="D5" s="8">
        <v>1071.8499999999999</v>
      </c>
      <c r="E5" s="1">
        <f>B5/B6-1</f>
        <v>1.2710636359872352E-2</v>
      </c>
      <c r="F5" s="1">
        <f>C5/C6-1</f>
        <v>-5.3757717692143325E-3</v>
      </c>
      <c r="G5" s="1">
        <f>D5/D6-1</f>
        <v>-4.6524153557565562E-3</v>
      </c>
      <c r="H5" s="1"/>
      <c r="I5" t="s">
        <v>11</v>
      </c>
      <c r="J5" s="6">
        <f>J3*SQRT(252)</f>
        <v>0.21662746911018843</v>
      </c>
      <c r="K5" s="6">
        <f t="shared" ref="K5:L5" si="5">K3*SQRT(252)</f>
        <v>0.28285351343266824</v>
      </c>
      <c r="L5" s="6">
        <f t="shared" si="5"/>
        <v>0.18076580957734212</v>
      </c>
    </row>
    <row r="6" spans="1:18" x14ac:dyDescent="0.3">
      <c r="A6" s="7">
        <v>45701</v>
      </c>
      <c r="B6">
        <v>241.53</v>
      </c>
      <c r="C6">
        <v>187.88</v>
      </c>
      <c r="D6" s="8">
        <v>1076.8599999999999</v>
      </c>
      <c r="E6" s="1">
        <f>B6/B7-1</f>
        <v>1.9673238485245159E-2</v>
      </c>
      <c r="F6" s="1">
        <f>C6/C7-1</f>
        <v>1.3212533031332407E-2</v>
      </c>
      <c r="G6" s="1">
        <f>D6/D7-1</f>
        <v>1.1022232236743257E-2</v>
      </c>
      <c r="H6" s="1"/>
      <c r="I6" t="s">
        <v>36</v>
      </c>
      <c r="J6" s="6"/>
      <c r="K6" s="6"/>
      <c r="L6" s="6"/>
    </row>
    <row r="7" spans="1:18" x14ac:dyDescent="0.3">
      <c r="A7" s="7">
        <v>45700</v>
      </c>
      <c r="B7">
        <v>236.87</v>
      </c>
      <c r="C7">
        <v>185.43</v>
      </c>
      <c r="D7" s="8">
        <v>1065.1199999999999</v>
      </c>
      <c r="E7" s="1">
        <f>B7/B8-1</f>
        <v>1.8270140142722102E-2</v>
      </c>
      <c r="F7" s="1">
        <f>C7/C8-1</f>
        <v>-8.7667717966536385E-3</v>
      </c>
      <c r="G7" s="1">
        <f>D7/D8-1</f>
        <v>6.4062588582118885E-3</v>
      </c>
      <c r="H7" s="1"/>
      <c r="I7" t="s">
        <v>10</v>
      </c>
      <c r="J7" s="6" cm="1">
        <f t="array" ref="J7">cagr(B127,B2, $N4)</f>
        <v>0.18467320953036337</v>
      </c>
      <c r="K7" s="6" cm="1">
        <f t="array" ref="K7">cagr(C127,C2, $N4)</f>
        <v>0.22817528411103738</v>
      </c>
      <c r="L7" s="6" cm="1">
        <f t="array" ref="L7">cagr(D127,D2, $N4)</f>
        <v>0.40546086342311205</v>
      </c>
    </row>
    <row r="8" spans="1:18" x14ac:dyDescent="0.3">
      <c r="A8" s="7">
        <v>45699</v>
      </c>
      <c r="B8">
        <v>232.62</v>
      </c>
      <c r="C8">
        <v>187.07</v>
      </c>
      <c r="D8" s="8">
        <v>1058.3399999999999</v>
      </c>
      <c r="E8" s="1">
        <f>B8/B9-1</f>
        <v>2.1831759279595797E-2</v>
      </c>
      <c r="F8" s="1">
        <f>C8/C9-1</f>
        <v>-6.0042507970243797E-3</v>
      </c>
      <c r="G8" s="1">
        <f>D8/D9-1</f>
        <v>-3.3712520717192884E-3</v>
      </c>
      <c r="H8" s="1"/>
      <c r="I8" t="s">
        <v>11</v>
      </c>
      <c r="J8" s="6" cm="1">
        <f t="array" ref="J8">annualvol(J3)</f>
        <v>0.21662746911018843</v>
      </c>
      <c r="K8" s="6" cm="1">
        <f t="array" ref="K8">annualvol(K3)</f>
        <v>0.28285351343266824</v>
      </c>
      <c r="L8" s="6" cm="1">
        <f t="array" ref="L8">annualvol(L3)</f>
        <v>0.18076580957734212</v>
      </c>
    </row>
    <row r="9" spans="1:18" x14ac:dyDescent="0.3">
      <c r="A9" s="7">
        <v>45698</v>
      </c>
      <c r="B9">
        <v>227.65</v>
      </c>
      <c r="C9">
        <v>188.2</v>
      </c>
      <c r="D9" s="8">
        <v>1061.92</v>
      </c>
      <c r="E9" s="1">
        <f>B9/B10-1</f>
        <v>1.1874395285424999E-3</v>
      </c>
      <c r="F9" s="1">
        <f>C9/C10-1</f>
        <v>5.6642086138720682E-3</v>
      </c>
      <c r="G9" s="1">
        <f>D9/D10-1</f>
        <v>1.7349900844023436E-2</v>
      </c>
      <c r="H9" s="1"/>
    </row>
    <row r="10" spans="1:18" x14ac:dyDescent="0.3">
      <c r="A10" s="7">
        <v>45695</v>
      </c>
      <c r="B10">
        <v>227.38</v>
      </c>
      <c r="C10">
        <v>187.14</v>
      </c>
      <c r="D10" s="8">
        <v>1043.81</v>
      </c>
      <c r="E10" s="1">
        <f>B10/B11-1</f>
        <v>-2.3952609890109944E-2</v>
      </c>
      <c r="F10" s="1">
        <f>C10/C11-1</f>
        <v>-3.1917645233045411E-2</v>
      </c>
      <c r="G10" s="1">
        <f>D10/D11-1</f>
        <v>-5.7342617376145988E-3</v>
      </c>
      <c r="H10" s="1"/>
      <c r="J10" t="s">
        <v>1</v>
      </c>
    </row>
    <row r="11" spans="1:18" x14ac:dyDescent="0.3">
      <c r="A11" s="7">
        <v>45694</v>
      </c>
      <c r="B11">
        <v>232.96</v>
      </c>
      <c r="C11">
        <v>193.31</v>
      </c>
      <c r="D11" s="8">
        <v>1049.83</v>
      </c>
      <c r="E11" s="1">
        <f>B11/B12-1</f>
        <v>3.2298350630894923E-3</v>
      </c>
      <c r="F11" s="1">
        <f>C11/C12-1</f>
        <v>5.1733057423675177E-5</v>
      </c>
      <c r="G11" s="1">
        <f>D11/D12-1</f>
        <v>7.7755272479431703E-3</v>
      </c>
      <c r="H11" s="1"/>
      <c r="N11" s="2"/>
    </row>
    <row r="12" spans="1:18" x14ac:dyDescent="0.3">
      <c r="A12" s="7">
        <v>45693</v>
      </c>
      <c r="B12">
        <v>232.21</v>
      </c>
      <c r="C12">
        <v>193.3</v>
      </c>
      <c r="D12" s="8">
        <v>1041.73</v>
      </c>
      <c r="E12" s="1">
        <f>B12/B13-1</f>
        <v>-1.4191106906338291E-3</v>
      </c>
      <c r="F12" s="1">
        <f>C12/C13-1</f>
        <v>-6.9375571710557971E-2</v>
      </c>
      <c r="G12" s="1">
        <f>D12/D13-1</f>
        <v>2.0573511114594378E-2</v>
      </c>
      <c r="H12" s="1"/>
      <c r="J12" s="2"/>
      <c r="K12" s="2" t="str">
        <f>B1</f>
        <v>AAPL</v>
      </c>
      <c r="L12" s="2" t="str">
        <f>C1</f>
        <v>GOOG</v>
      </c>
      <c r="M12" s="2" t="str">
        <f>D1</f>
        <v>COST</v>
      </c>
      <c r="O12" s="2"/>
      <c r="P12" s="2" t="str">
        <f>K12</f>
        <v>AAPL</v>
      </c>
      <c r="Q12" s="2" t="str">
        <f t="shared" ref="Q12:R12" si="6">L12</f>
        <v>GOOG</v>
      </c>
      <c r="R12" s="2" t="str">
        <f t="shared" si="6"/>
        <v>COST</v>
      </c>
    </row>
    <row r="13" spans="1:18" x14ac:dyDescent="0.3">
      <c r="A13" s="7">
        <v>45692</v>
      </c>
      <c r="B13">
        <v>232.54</v>
      </c>
      <c r="C13">
        <v>207.71</v>
      </c>
      <c r="D13" s="8">
        <v>1020.73</v>
      </c>
      <c r="E13" s="1">
        <f>B13/B14-1</f>
        <v>2.0987003863716103E-2</v>
      </c>
      <c r="F13" s="1">
        <f>C13/C14-1</f>
        <v>2.5019739439400057E-2</v>
      </c>
      <c r="G13" s="1">
        <f>D13/D14-1</f>
        <v>1.5934787801576533E-2</v>
      </c>
      <c r="H13" s="1"/>
      <c r="J13" t="str">
        <f>B1</f>
        <v>AAPL</v>
      </c>
      <c r="K13" s="4" cm="1">
        <f t="array" ref="K13:M15">MMULT(TRANSPOSE(E2:G126-J2:L2),E2:G126-J2:L2)/$N$4</f>
        <v>1.8622008084557786E-4</v>
      </c>
      <c r="L13" s="4">
        <v>6.670717326301858E-5</v>
      </c>
      <c r="M13" s="4">
        <v>3.871067905233052E-5</v>
      </c>
      <c r="O13" t="str">
        <f>J13</f>
        <v>AAPL</v>
      </c>
      <c r="P13" s="4">
        <f>_xlfn.VAR.P(E2:E126)</f>
        <v>1.8622008084557789E-4</v>
      </c>
      <c r="Q13" s="4">
        <f>_xlfn.COVARIANCE.P(E2:E126,F2:F126)</f>
        <v>6.670717326301858E-5</v>
      </c>
      <c r="R13" s="4">
        <f>_xlfn.COVARIANCE.P(E2:E126,G2:G126)</f>
        <v>3.871067905233052E-5</v>
      </c>
    </row>
    <row r="14" spans="1:18" x14ac:dyDescent="0.3">
      <c r="A14" s="7">
        <v>45691</v>
      </c>
      <c r="B14">
        <v>227.76</v>
      </c>
      <c r="C14">
        <v>202.64</v>
      </c>
      <c r="D14" s="8">
        <v>1004.72</v>
      </c>
      <c r="E14" s="1">
        <f>B14/B15-1</f>
        <v>-3.3850852634258133E-2</v>
      </c>
      <c r="F14" s="1">
        <f>C14/C15-1</f>
        <v>-1.4396887159533134E-2</v>
      </c>
      <c r="G14" s="1">
        <f>D14/D15-1</f>
        <v>2.6481405803024272E-2</v>
      </c>
      <c r="H14" s="1"/>
      <c r="J14" t="str">
        <f>C1</f>
        <v>GOOG</v>
      </c>
      <c r="K14" s="4">
        <v>6.670717326301858E-5</v>
      </c>
      <c r="L14" s="4">
        <v>3.1748456373493909E-4</v>
      </c>
      <c r="M14" s="4">
        <v>1.329000442405538E-5</v>
      </c>
      <c r="O14" t="str">
        <f t="shared" ref="O14:O15" si="7">J14</f>
        <v>GOOG</v>
      </c>
      <c r="P14" s="4">
        <f>Q13</f>
        <v>6.670717326301858E-5</v>
      </c>
      <c r="Q14" s="4">
        <f>_xlfn.VAR.P(F2:F126)</f>
        <v>3.1748456373493892E-4</v>
      </c>
      <c r="R14" s="4">
        <f>_xlfn.COVARIANCE.P(F2:F126,G2:G126)</f>
        <v>1.329000442405538E-5</v>
      </c>
    </row>
    <row r="15" spans="1:18" x14ac:dyDescent="0.3">
      <c r="A15" s="7">
        <v>45688</v>
      </c>
      <c r="B15">
        <v>235.74</v>
      </c>
      <c r="C15">
        <v>205.6</v>
      </c>
      <c r="D15">
        <v>978.8</v>
      </c>
      <c r="E15" s="1">
        <f>B15/B16-1</f>
        <v>-6.6995322968019799E-3</v>
      </c>
      <c r="F15" s="1">
        <f>C15/C16-1</f>
        <v>1.4657257069535579E-2</v>
      </c>
      <c r="G15" s="1">
        <f>D15/D16-1</f>
        <v>8.8963422739873899E-4</v>
      </c>
      <c r="H15" s="1"/>
      <c r="J15" t="str">
        <f>D1</f>
        <v>COST</v>
      </c>
      <c r="K15" s="4">
        <v>3.871067905233052E-5</v>
      </c>
      <c r="L15" s="4">
        <v>1.329000442405538E-5</v>
      </c>
      <c r="M15" s="4">
        <v>1.2966776949266629E-4</v>
      </c>
      <c r="O15" t="str">
        <f t="shared" si="7"/>
        <v>COST</v>
      </c>
      <c r="P15" s="4">
        <f>R13</f>
        <v>3.871067905233052E-5</v>
      </c>
      <c r="Q15" s="4">
        <f>R14</f>
        <v>1.329000442405538E-5</v>
      </c>
      <c r="R15" s="4">
        <f>_xlfn.VAR.P(G2:G126)</f>
        <v>1.2966776949266631E-4</v>
      </c>
    </row>
    <row r="16" spans="1:18" x14ac:dyDescent="0.3">
      <c r="A16" s="7">
        <v>45687</v>
      </c>
      <c r="B16">
        <v>237.33</v>
      </c>
      <c r="C16">
        <v>202.63</v>
      </c>
      <c r="D16">
        <v>977.93</v>
      </c>
      <c r="E16" s="1">
        <f>B16/B17-1</f>
        <v>-7.4027603513173723E-3</v>
      </c>
      <c r="F16" s="1">
        <f>C16/C17-1</f>
        <v>2.7639720052743622E-2</v>
      </c>
      <c r="G16" s="1">
        <f>D16/D17-1</f>
        <v>1.5545817064052336E-2</v>
      </c>
      <c r="H16" s="1"/>
    </row>
    <row r="17" spans="1:14" x14ac:dyDescent="0.3">
      <c r="A17" s="7">
        <v>45686</v>
      </c>
      <c r="B17">
        <v>239.1</v>
      </c>
      <c r="C17">
        <v>197.18</v>
      </c>
      <c r="D17">
        <v>962.96</v>
      </c>
      <c r="E17" s="1">
        <f>B17/B18-1</f>
        <v>4.6218487394957819E-3</v>
      </c>
      <c r="F17" s="1">
        <f>C17/C18-1</f>
        <v>5.5817729740703648E-4</v>
      </c>
      <c r="G17" s="1">
        <f>D17/D18-1</f>
        <v>5.5868255344033724E-3</v>
      </c>
      <c r="H17" s="1"/>
    </row>
    <row r="18" spans="1:14" x14ac:dyDescent="0.3">
      <c r="A18" s="7">
        <v>45685</v>
      </c>
      <c r="B18">
        <v>238</v>
      </c>
      <c r="C18">
        <v>197.07</v>
      </c>
      <c r="D18">
        <v>957.61</v>
      </c>
      <c r="E18" s="1">
        <f>B18/B19-1</f>
        <v>3.6540220373677101E-2</v>
      </c>
      <c r="F18" s="1">
        <f>C18/C19-1</f>
        <v>1.7030500077411359E-2</v>
      </c>
      <c r="G18" s="1">
        <f>D18/D19-1</f>
        <v>-6.8140803584392229E-3</v>
      </c>
      <c r="H18" s="1"/>
      <c r="J18" s="19" t="s">
        <v>37</v>
      </c>
    </row>
    <row r="19" spans="1:14" x14ac:dyDescent="0.3">
      <c r="A19" s="7">
        <v>45684</v>
      </c>
      <c r="B19">
        <v>229.61</v>
      </c>
      <c r="C19">
        <v>193.77</v>
      </c>
      <c r="D19">
        <v>964.18</v>
      </c>
      <c r="E19" s="1">
        <f>B19/B20-1</f>
        <v>3.1769569515592844E-2</v>
      </c>
      <c r="F19" s="1">
        <f>C19/C20-1</f>
        <v>-4.0267459138187189E-2</v>
      </c>
      <c r="G19" s="1">
        <f>D19/D20-1</f>
        <v>2.7209579817608409E-2</v>
      </c>
      <c r="H19" s="1"/>
    </row>
    <row r="20" spans="1:14" x14ac:dyDescent="0.3">
      <c r="A20" s="7">
        <v>45681</v>
      </c>
      <c r="B20">
        <v>222.54</v>
      </c>
      <c r="C20">
        <v>201.9</v>
      </c>
      <c r="D20">
        <v>938.64</v>
      </c>
      <c r="E20" s="1">
        <f>B20/B21-1</f>
        <v>-3.8941855780851853E-3</v>
      </c>
      <c r="F20" s="1">
        <f>C20/C21-1</f>
        <v>1.1624411263653656E-2</v>
      </c>
      <c r="G20" s="1">
        <f>D20/D21-1</f>
        <v>-2.6351581094865573E-3</v>
      </c>
      <c r="H20" s="1"/>
      <c r="K20" t="str">
        <f>K12</f>
        <v>AAPL</v>
      </c>
      <c r="L20" t="str">
        <f>L12</f>
        <v>GOOG</v>
      </c>
      <c r="M20" t="str">
        <f>M12</f>
        <v>COST</v>
      </c>
      <c r="N20" t="s">
        <v>4</v>
      </c>
    </row>
    <row r="21" spans="1:14" x14ac:dyDescent="0.3">
      <c r="A21" s="7">
        <v>45680</v>
      </c>
      <c r="B21">
        <v>223.41</v>
      </c>
      <c r="C21">
        <v>199.58</v>
      </c>
      <c r="D21">
        <v>941.12</v>
      </c>
      <c r="E21" s="1">
        <f>B21/B22-1</f>
        <v>-7.6035423562048621E-4</v>
      </c>
      <c r="F21" s="1">
        <f>C21/C22-1</f>
        <v>-2.2496625506173151E-3</v>
      </c>
      <c r="G21" s="1">
        <f>D21/D22-1</f>
        <v>-2.6916474153826364E-3</v>
      </c>
      <c r="H21" s="1"/>
      <c r="J21" t="s">
        <v>2</v>
      </c>
      <c r="K21" s="3">
        <v>0.2700124858008367</v>
      </c>
      <c r="L21" s="3">
        <v>0.18402281218792629</v>
      </c>
      <c r="M21" s="3">
        <v>0.54596470201123715</v>
      </c>
      <c r="N21">
        <f>SUM(K21:M21)</f>
        <v>1</v>
      </c>
    </row>
    <row r="22" spans="1:14" x14ac:dyDescent="0.3">
      <c r="A22" s="7">
        <v>45679</v>
      </c>
      <c r="B22">
        <v>223.58</v>
      </c>
      <c r="C22">
        <v>200.03</v>
      </c>
      <c r="D22">
        <v>943.66</v>
      </c>
      <c r="E22" s="1">
        <f>B22/B23-1</f>
        <v>5.3057553956834536E-3</v>
      </c>
      <c r="F22" s="1">
        <f>C22/C23-1</f>
        <v>2.0037068576868045E-3</v>
      </c>
      <c r="G22" s="1">
        <f>D22/D23-1</f>
        <v>-3.1900959141419882E-3</v>
      </c>
      <c r="H22" s="1"/>
    </row>
    <row r="23" spans="1:14" x14ac:dyDescent="0.3">
      <c r="A23" s="7">
        <v>45678</v>
      </c>
      <c r="B23">
        <v>222.4</v>
      </c>
      <c r="C23">
        <v>199.63</v>
      </c>
      <c r="D23">
        <v>946.68</v>
      </c>
      <c r="E23" s="1">
        <f>B23/B24-1</f>
        <v>-3.1907021285857207E-2</v>
      </c>
      <c r="F23" s="1">
        <f>C23/C24-1</f>
        <v>1.0528980005061861E-2</v>
      </c>
      <c r="G23" s="1">
        <f>D23/D24-1</f>
        <v>4.8081515682216747E-3</v>
      </c>
      <c r="H23" s="1"/>
    </row>
    <row r="24" spans="1:14" x14ac:dyDescent="0.3">
      <c r="A24" s="7">
        <v>45674</v>
      </c>
      <c r="B24">
        <v>229.73</v>
      </c>
      <c r="C24">
        <v>197.55</v>
      </c>
      <c r="D24">
        <v>942.15</v>
      </c>
      <c r="E24" s="1">
        <f>B24/B25-1</f>
        <v>7.5435287925968986E-3</v>
      </c>
      <c r="F24" s="1">
        <f>C24/C25-1</f>
        <v>1.6151432539478483E-2</v>
      </c>
      <c r="G24" s="1">
        <f>D24/D25-1</f>
        <v>2.5491711384193261E-2</v>
      </c>
      <c r="H24" s="1"/>
      <c r="J24" t="s">
        <v>39</v>
      </c>
      <c r="L24" s="18">
        <f>SUMPRODUCT(K21:M21,J2:L2)</f>
        <v>1.1595261565937346E-3</v>
      </c>
      <c r="M24" s="1"/>
    </row>
    <row r="25" spans="1:14" x14ac:dyDescent="0.3">
      <c r="A25" s="7">
        <v>45673</v>
      </c>
      <c r="B25">
        <v>228.01</v>
      </c>
      <c r="C25">
        <v>194.41</v>
      </c>
      <c r="D25">
        <v>918.73</v>
      </c>
      <c r="E25" s="1">
        <f>B25/B26-1</f>
        <v>-4.0402339968856671E-2</v>
      </c>
      <c r="F25" s="1">
        <f>C25/C26-1</f>
        <v>-1.3047009848715541E-2</v>
      </c>
      <c r="G25" s="1">
        <f>D25/D26-1</f>
        <v>-4.0651287832798033E-3</v>
      </c>
      <c r="H25" s="1"/>
      <c r="J25" t="s">
        <v>40</v>
      </c>
      <c r="L25" s="1" cm="1">
        <f t="array" ref="L25">MMULT(MMULT(K21:M21,K13:M15),TRANSPOSE(K21:M21))</f>
        <v>8.3692053070809355E-5</v>
      </c>
      <c r="M25" s="1" t="s">
        <v>12</v>
      </c>
    </row>
    <row r="26" spans="1:14" x14ac:dyDescent="0.3">
      <c r="A26" s="7">
        <v>45672</v>
      </c>
      <c r="B26">
        <v>237.61</v>
      </c>
      <c r="C26">
        <v>196.98</v>
      </c>
      <c r="D26">
        <v>922.48</v>
      </c>
      <c r="E26" s="1">
        <f>B26/B27-1</f>
        <v>1.9697880010299595E-2</v>
      </c>
      <c r="F26" s="1">
        <f>C26/C27-1</f>
        <v>3.1038995027479643E-2</v>
      </c>
      <c r="G26" s="1">
        <f>D26/D27-1</f>
        <v>6.8324201610967528E-3</v>
      </c>
      <c r="H26" s="1"/>
      <c r="J26" t="s">
        <v>38</v>
      </c>
      <c r="L26" s="18">
        <f>SQRT(L25)</f>
        <v>9.148336082086695E-3</v>
      </c>
      <c r="M26" s="1"/>
    </row>
    <row r="27" spans="1:14" x14ac:dyDescent="0.3">
      <c r="A27" s="7">
        <v>45671</v>
      </c>
      <c r="B27">
        <v>233.02</v>
      </c>
      <c r="C27">
        <v>191.05</v>
      </c>
      <c r="D27">
        <v>916.22</v>
      </c>
      <c r="E27" s="1">
        <f>B27/B28-1</f>
        <v>-4.7834628854530603E-3</v>
      </c>
      <c r="F27" s="1">
        <f>C27/C28-1</f>
        <v>-6.4485932705807825E-3</v>
      </c>
      <c r="G27" s="1">
        <f>D27/D28-1</f>
        <v>-8.0763900918066067E-3</v>
      </c>
      <c r="H27" s="1"/>
    </row>
    <row r="28" spans="1:14" x14ac:dyDescent="0.3">
      <c r="A28" s="7">
        <v>45670</v>
      </c>
      <c r="B28">
        <v>234.14</v>
      </c>
      <c r="C28">
        <v>192.29</v>
      </c>
      <c r="D28">
        <v>923.68</v>
      </c>
      <c r="E28" s="1">
        <f>B28/B29-1</f>
        <v>-1.035546726404335E-2</v>
      </c>
      <c r="F28" s="1">
        <f>C28/C29-1</f>
        <v>-4.5555728115131977E-3</v>
      </c>
      <c r="G28" s="1">
        <f>D28/D29-1</f>
        <v>-1.3067495806220686E-2</v>
      </c>
      <c r="H28" s="1"/>
    </row>
    <row r="29" spans="1:14" x14ac:dyDescent="0.3">
      <c r="A29" s="7">
        <v>45667</v>
      </c>
      <c r="B29">
        <v>236.59</v>
      </c>
      <c r="C29">
        <v>193.17</v>
      </c>
      <c r="D29">
        <v>935.91</v>
      </c>
      <c r="E29" s="1">
        <f>B29/B30-1</f>
        <v>-2.4089427876087921E-2</v>
      </c>
      <c r="F29" s="1">
        <f>C29/C30-1</f>
        <v>-1.1361891601412544E-2</v>
      </c>
      <c r="G29" s="1">
        <f>D29/D30-1</f>
        <v>1.0320073406379748E-2</v>
      </c>
      <c r="H29" s="1"/>
    </row>
    <row r="30" spans="1:14" x14ac:dyDescent="0.3">
      <c r="A30" s="7">
        <v>45665</v>
      </c>
      <c r="B30">
        <v>242.43</v>
      </c>
      <c r="C30">
        <v>195.39</v>
      </c>
      <c r="D30">
        <v>926.35</v>
      </c>
      <c r="E30" s="1">
        <f>B30/B31-1</f>
        <v>2.0252955278168283E-3</v>
      </c>
      <c r="F30" s="1">
        <f>C30/C31-1</f>
        <v>-6.7103858471863065E-3</v>
      </c>
      <c r="G30" s="1">
        <f>D30/D31-1</f>
        <v>6.5192589775628917E-3</v>
      </c>
      <c r="H30" s="1"/>
    </row>
    <row r="31" spans="1:14" x14ac:dyDescent="0.3">
      <c r="A31" s="7">
        <v>45664</v>
      </c>
      <c r="B31">
        <v>241.94</v>
      </c>
      <c r="C31">
        <v>196.71</v>
      </c>
      <c r="D31">
        <v>920.35</v>
      </c>
      <c r="E31" s="1">
        <f>B31/B32-1</f>
        <v>-1.1400318718587821E-2</v>
      </c>
      <c r="F31" s="1">
        <f>C31/C32-1</f>
        <v>-6.3144069508991318E-3</v>
      </c>
      <c r="G31" s="1">
        <f>D31/D32-1</f>
        <v>-1.4538510779112945E-3</v>
      </c>
      <c r="H31" s="1"/>
    </row>
    <row r="32" spans="1:14" x14ac:dyDescent="0.3">
      <c r="A32" s="7">
        <v>45663</v>
      </c>
      <c r="B32">
        <v>244.73</v>
      </c>
      <c r="C32">
        <v>197.96</v>
      </c>
      <c r="D32">
        <v>921.69</v>
      </c>
      <c r="E32" s="1">
        <f>B32/B33-1</f>
        <v>6.7464724998971271E-3</v>
      </c>
      <c r="F32" s="1">
        <f>C32/C33-1</f>
        <v>2.5009061254077647E-2</v>
      </c>
      <c r="G32" s="1">
        <f>D32/D33-1</f>
        <v>6.6843605622726177E-3</v>
      </c>
      <c r="H32" s="1"/>
    </row>
    <row r="33" spans="1:8" x14ac:dyDescent="0.3">
      <c r="A33" s="7">
        <v>45660</v>
      </c>
      <c r="B33">
        <v>243.09</v>
      </c>
      <c r="C33">
        <v>193.13</v>
      </c>
      <c r="D33">
        <v>915.57</v>
      </c>
      <c r="E33" s="1">
        <f>B33/B34-1</f>
        <v>-2.0116594137450372E-3</v>
      </c>
      <c r="F33" s="1">
        <f>C33/C34-1</f>
        <v>1.3114410113833186E-2</v>
      </c>
      <c r="G33" s="1">
        <f>D33/D34-1</f>
        <v>7.4382984342162839E-3</v>
      </c>
      <c r="H33" s="1"/>
    </row>
    <row r="34" spans="1:8" x14ac:dyDescent="0.3">
      <c r="A34" s="7">
        <v>45659</v>
      </c>
      <c r="B34">
        <v>243.58</v>
      </c>
      <c r="C34">
        <v>190.63</v>
      </c>
      <c r="D34">
        <v>908.81</v>
      </c>
      <c r="E34" s="1">
        <f>B34/B35-1</f>
        <v>-2.6225313824258301E-2</v>
      </c>
      <c r="F34" s="1">
        <f>C34/C35-1</f>
        <v>9.9768956101664585E-4</v>
      </c>
      <c r="G34" s="1">
        <f>D34/D35-1</f>
        <v>-7.0471778511024263E-3</v>
      </c>
      <c r="H34" s="1"/>
    </row>
    <row r="35" spans="1:8" x14ac:dyDescent="0.3">
      <c r="A35" s="7">
        <v>45657</v>
      </c>
      <c r="B35">
        <v>250.14</v>
      </c>
      <c r="C35">
        <v>190.44</v>
      </c>
      <c r="D35">
        <v>915.26</v>
      </c>
      <c r="E35" s="1">
        <f>B35/B36-1</f>
        <v>-7.0657351540172053E-3</v>
      </c>
      <c r="F35" s="1">
        <f>C35/C36-1</f>
        <v>-1.1676786548341922E-2</v>
      </c>
      <c r="G35" s="1">
        <f>D35/D36-1</f>
        <v>-6.4373256331484718E-3</v>
      </c>
      <c r="H35" s="1"/>
    </row>
    <row r="36" spans="1:8" x14ac:dyDescent="0.3">
      <c r="A36" s="7">
        <v>45656</v>
      </c>
      <c r="B36">
        <v>251.92</v>
      </c>
      <c r="C36">
        <v>192.69</v>
      </c>
      <c r="D36">
        <v>921.19</v>
      </c>
      <c r="E36" s="1">
        <f>B36/B37-1</f>
        <v>-1.3277975794132701E-2</v>
      </c>
      <c r="F36" s="1">
        <f>C36/C37-1</f>
        <v>-6.957328385899797E-3</v>
      </c>
      <c r="G36" s="1">
        <f>D36/D37-1</f>
        <v>-1.8611637866746134E-2</v>
      </c>
      <c r="H36" s="1"/>
    </row>
    <row r="37" spans="1:8" x14ac:dyDescent="0.3">
      <c r="A37" s="7">
        <v>45653</v>
      </c>
      <c r="B37">
        <v>255.31</v>
      </c>
      <c r="C37">
        <v>194.04</v>
      </c>
      <c r="D37">
        <v>938.66</v>
      </c>
      <c r="E37" s="1">
        <f>B37/B38-1</f>
        <v>-1.325655097781564E-2</v>
      </c>
      <c r="F37" s="1">
        <f>C37/C38-1</f>
        <v>-1.5525114155251152E-2</v>
      </c>
      <c r="G37" s="1">
        <f>D37/D38-1</f>
        <v>-1.7192277086736318E-2</v>
      </c>
      <c r="H37" s="1"/>
    </row>
    <row r="38" spans="1:8" x14ac:dyDescent="0.3">
      <c r="A38" s="7">
        <v>45652</v>
      </c>
      <c r="B38">
        <v>258.74</v>
      </c>
      <c r="C38">
        <v>197.1</v>
      </c>
      <c r="D38">
        <v>955.08</v>
      </c>
      <c r="E38" s="1">
        <f>B38/B39-1</f>
        <v>3.1792803970223105E-3</v>
      </c>
      <c r="F38" s="1">
        <f>C38/C39-1</f>
        <v>-2.3789036797084995E-3</v>
      </c>
      <c r="G38" s="1">
        <f>D38/D39-1</f>
        <v>-2.7981957901770382E-3</v>
      </c>
      <c r="H38" s="1"/>
    </row>
    <row r="39" spans="1:8" x14ac:dyDescent="0.3">
      <c r="A39" s="7">
        <v>45650</v>
      </c>
      <c r="B39">
        <v>257.92</v>
      </c>
      <c r="C39">
        <v>197.57</v>
      </c>
      <c r="D39">
        <v>957.76</v>
      </c>
      <c r="E39" s="1">
        <f>B39/B40-1</f>
        <v>1.1490646692027262E-2</v>
      </c>
      <c r="F39" s="1">
        <f>C39/C40-1</f>
        <v>8.0616357977447706E-3</v>
      </c>
      <c r="G39" s="1">
        <f>D39/D40-1</f>
        <v>9.3796766646290219E-3</v>
      </c>
      <c r="H39" s="1"/>
    </row>
    <row r="40" spans="1:8" x14ac:dyDescent="0.3">
      <c r="A40" s="7">
        <v>45649</v>
      </c>
      <c r="B40">
        <v>254.99</v>
      </c>
      <c r="C40">
        <v>195.99</v>
      </c>
      <c r="D40">
        <v>948.86</v>
      </c>
      <c r="E40" s="1">
        <f>B40/B41-1</f>
        <v>3.0683293340152407E-3</v>
      </c>
      <c r="F40" s="1">
        <f>C40/C41-1</f>
        <v>1.5702736318407906E-2</v>
      </c>
      <c r="G40" s="1">
        <f>D40/D41-1</f>
        <v>-4.3650710373339674E-3</v>
      </c>
      <c r="H40" s="1"/>
    </row>
    <row r="41" spans="1:8" x14ac:dyDescent="0.3">
      <c r="A41" s="7">
        <v>45646</v>
      </c>
      <c r="B41">
        <v>254.21</v>
      </c>
      <c r="C41">
        <v>192.96</v>
      </c>
      <c r="D41">
        <v>953.02</v>
      </c>
      <c r="E41" s="1">
        <f>B41/B42-1</f>
        <v>1.8796088489900553E-2</v>
      </c>
      <c r="F41" s="1">
        <f>C41/C42-1</f>
        <v>1.7185028993147222E-2</v>
      </c>
      <c r="G41" s="1">
        <f>D41/D42-1</f>
        <v>-7.6539973787681514E-4</v>
      </c>
      <c r="H41" s="1"/>
    </row>
    <row r="42" spans="1:8" x14ac:dyDescent="0.3">
      <c r="A42" s="7">
        <v>45645</v>
      </c>
      <c r="B42">
        <v>249.52</v>
      </c>
      <c r="C42">
        <v>189.7</v>
      </c>
      <c r="D42">
        <v>953.75</v>
      </c>
      <c r="E42" s="1">
        <f>B42/B43-1</f>
        <v>7.0223585438695668E-3</v>
      </c>
      <c r="F42" s="1">
        <f>C42/C43-1</f>
        <v>-2.3665527215357418E-3</v>
      </c>
      <c r="G42" s="1">
        <f>D42/D43-1</f>
        <v>-1.0304250373567969E-2</v>
      </c>
      <c r="H42" s="1"/>
    </row>
    <row r="43" spans="1:8" x14ac:dyDescent="0.3">
      <c r="A43" s="7">
        <v>45644</v>
      </c>
      <c r="B43">
        <v>247.78</v>
      </c>
      <c r="C43">
        <v>190.15</v>
      </c>
      <c r="D43">
        <v>963.68</v>
      </c>
      <c r="E43" s="1">
        <f>B43/B44-1</f>
        <v>-2.1406003159557652E-2</v>
      </c>
      <c r="F43" s="1">
        <f>C43/C44-1</f>
        <v>-3.5359172077922052E-2</v>
      </c>
      <c r="G43" s="1">
        <f>D43/D44-1</f>
        <v>-1.7655453618756423E-2</v>
      </c>
      <c r="H43" s="1"/>
    </row>
    <row r="44" spans="1:8" x14ac:dyDescent="0.3">
      <c r="A44" s="7">
        <v>45643</v>
      </c>
      <c r="B44">
        <v>253.2</v>
      </c>
      <c r="C44">
        <v>197.12</v>
      </c>
      <c r="D44">
        <v>981</v>
      </c>
      <c r="E44" s="1">
        <f>B44/B45-1</f>
        <v>9.7304195246450398E-3</v>
      </c>
      <c r="F44" s="1">
        <f>C44/C45-1</f>
        <v>-5.2482842147758557E-3</v>
      </c>
      <c r="G44" s="1">
        <f>D44/D45-1</f>
        <v>-1.0859372636800813E-2</v>
      </c>
      <c r="H44" s="1"/>
    </row>
    <row r="45" spans="1:8" x14ac:dyDescent="0.3">
      <c r="A45" s="7">
        <v>45642</v>
      </c>
      <c r="B45">
        <v>250.76</v>
      </c>
      <c r="C45">
        <v>198.16</v>
      </c>
      <c r="D45">
        <v>991.77</v>
      </c>
      <c r="E45" s="1">
        <f>B45/B46-1</f>
        <v>1.1700153312353745E-2</v>
      </c>
      <c r="F45" s="1">
        <f>C45/C46-1</f>
        <v>3.5426899362524855E-2</v>
      </c>
      <c r="G45" s="1">
        <f>D45/D46-1</f>
        <v>3.5516969218627459E-3</v>
      </c>
      <c r="H45" s="1"/>
    </row>
    <row r="46" spans="1:8" x14ac:dyDescent="0.3">
      <c r="A46" s="7">
        <v>45639</v>
      </c>
      <c r="B46">
        <v>247.86</v>
      </c>
      <c r="C46">
        <v>191.38</v>
      </c>
      <c r="D46">
        <v>988.26</v>
      </c>
      <c r="E46" s="1">
        <f>B46/B47-1</f>
        <v>6.8634179821547292E-4</v>
      </c>
      <c r="F46" s="1">
        <f>C46/C47-1</f>
        <v>-1.1620100191086058E-2</v>
      </c>
      <c r="G46" s="1">
        <f>D46/D47-1</f>
        <v>9.7234883014274409E-4</v>
      </c>
      <c r="H46" s="1"/>
    </row>
    <row r="47" spans="1:8" x14ac:dyDescent="0.3">
      <c r="A47" s="7">
        <v>45638</v>
      </c>
      <c r="B47">
        <v>247.69</v>
      </c>
      <c r="C47">
        <v>193.63</v>
      </c>
      <c r="D47">
        <v>987.3</v>
      </c>
      <c r="E47" s="1">
        <f>B47/B48-1</f>
        <v>5.9702704898059178E-3</v>
      </c>
      <c r="F47" s="1">
        <f>C47/C48-1</f>
        <v>-1.56575669767679E-2</v>
      </c>
      <c r="G47" s="1">
        <f>D47/D48-1</f>
        <v>-6.3305790114636107E-3</v>
      </c>
      <c r="H47" s="1"/>
    </row>
    <row r="48" spans="1:8" x14ac:dyDescent="0.3">
      <c r="A48" s="7">
        <v>45637</v>
      </c>
      <c r="B48">
        <v>246.22</v>
      </c>
      <c r="C48">
        <v>196.71</v>
      </c>
      <c r="D48">
        <v>993.59</v>
      </c>
      <c r="E48" s="1">
        <f>B48/B49-1</f>
        <v>-5.1717171717171606E-3</v>
      </c>
      <c r="F48" s="1">
        <f>C48/C49-1</f>
        <v>5.4575671473757525E-2</v>
      </c>
      <c r="G48" s="1">
        <f>D48/D49-1</f>
        <v>1.3000100775975021E-3</v>
      </c>
      <c r="H48" s="1"/>
    </row>
    <row r="49" spans="1:8" x14ac:dyDescent="0.3">
      <c r="A49" s="7">
        <v>45636</v>
      </c>
      <c r="B49">
        <v>247.5</v>
      </c>
      <c r="C49">
        <v>186.53</v>
      </c>
      <c r="D49">
        <v>992.3</v>
      </c>
      <c r="E49" s="1">
        <f>B49/B50-1</f>
        <v>4.1382667964946496E-3</v>
      </c>
      <c r="F49" s="1">
        <f>C49/C50-1</f>
        <v>5.324675324675332E-2</v>
      </c>
      <c r="G49" s="1">
        <f>D49/D50-1</f>
        <v>5.6041428093678292E-3</v>
      </c>
      <c r="H49" s="1"/>
    </row>
    <row r="50" spans="1:8" x14ac:dyDescent="0.3">
      <c r="A50" s="7">
        <v>45635</v>
      </c>
      <c r="B50">
        <v>246.48</v>
      </c>
      <c r="C50">
        <v>177.1</v>
      </c>
      <c r="D50">
        <v>986.77</v>
      </c>
      <c r="E50" s="1">
        <f>B50/B51-1</f>
        <v>1.6119058416127263E-2</v>
      </c>
      <c r="F50" s="1">
        <f>C50/C51-1</f>
        <v>4.5947019116228116E-3</v>
      </c>
      <c r="G50" s="1">
        <f>D50/D51-1</f>
        <v>-4.7805871852023563E-3</v>
      </c>
      <c r="H50" s="1"/>
    </row>
    <row r="51" spans="1:8" x14ac:dyDescent="0.3">
      <c r="A51" s="7">
        <v>45632</v>
      </c>
      <c r="B51">
        <v>242.57</v>
      </c>
      <c r="C51">
        <v>176.29</v>
      </c>
      <c r="D51">
        <v>991.51</v>
      </c>
      <c r="E51" s="1">
        <f>B51/B52-1</f>
        <v>-8.238250195659047E-4</v>
      </c>
      <c r="F51" s="1">
        <f>C51/C52-1</f>
        <v>1.2520820171155966E-2</v>
      </c>
      <c r="G51" s="1">
        <f>D51/D52-1</f>
        <v>1.0528139587027807E-2</v>
      </c>
      <c r="H51" s="1"/>
    </row>
    <row r="52" spans="1:8" x14ac:dyDescent="0.3">
      <c r="A52" s="7">
        <v>45631</v>
      </c>
      <c r="B52">
        <v>242.77</v>
      </c>
      <c r="C52">
        <v>174.11</v>
      </c>
      <c r="D52">
        <v>981.18</v>
      </c>
      <c r="E52" s="1">
        <f>B52/B53-1</f>
        <v>1.2358902529463478E-4</v>
      </c>
      <c r="F52" s="1">
        <f>C52/C53-1</f>
        <v>-1.0119961339473349E-2</v>
      </c>
      <c r="G52" s="1">
        <f>D52/D53-1</f>
        <v>-8.7388743521615853E-3</v>
      </c>
      <c r="H52" s="1"/>
    </row>
    <row r="53" spans="1:8" x14ac:dyDescent="0.3">
      <c r="A53" s="7">
        <v>45630</v>
      </c>
      <c r="B53">
        <v>242.74</v>
      </c>
      <c r="C53">
        <v>175.89</v>
      </c>
      <c r="D53">
        <v>989.83</v>
      </c>
      <c r="E53" s="1">
        <f>B53/B54-1</f>
        <v>1.4852710619688292E-3</v>
      </c>
      <c r="F53" s="1">
        <f>C53/C54-1</f>
        <v>1.7764147668093866E-2</v>
      </c>
      <c r="G53" s="1">
        <f>D53/D54-1</f>
        <v>8.929026471097945E-3</v>
      </c>
      <c r="H53" s="1"/>
    </row>
    <row r="54" spans="1:8" x14ac:dyDescent="0.3">
      <c r="A54" s="7">
        <v>45629</v>
      </c>
      <c r="B54">
        <v>242.38</v>
      </c>
      <c r="C54">
        <v>172.82</v>
      </c>
      <c r="D54">
        <v>981.07</v>
      </c>
      <c r="E54" s="1">
        <f>B54/B55-1</f>
        <v>1.2743910082313015E-2</v>
      </c>
      <c r="F54" s="1">
        <f>C54/C55-1</f>
        <v>2.3150827642082206E-4</v>
      </c>
      <c r="G54" s="1">
        <f>D54/D55-1</f>
        <v>7.3414654181043204E-3</v>
      </c>
      <c r="H54" s="1"/>
    </row>
    <row r="55" spans="1:8" x14ac:dyDescent="0.3">
      <c r="A55" s="7">
        <v>45628</v>
      </c>
      <c r="B55">
        <v>239.33</v>
      </c>
      <c r="C55">
        <v>172.78</v>
      </c>
      <c r="D55">
        <v>973.92</v>
      </c>
      <c r="E55" s="1">
        <f>B55/B56-1</f>
        <v>9.5330493103302771E-3</v>
      </c>
      <c r="F55" s="1">
        <f>C55/C56-1</f>
        <v>1.456253669994112E-2</v>
      </c>
      <c r="G55" s="1">
        <f>D55/D56-1</f>
        <v>3.203510470637827E-3</v>
      </c>
      <c r="H55" s="1"/>
    </row>
    <row r="56" spans="1:8" x14ac:dyDescent="0.3">
      <c r="A56" s="7">
        <v>45625</v>
      </c>
      <c r="B56">
        <v>237.07</v>
      </c>
      <c r="C56">
        <v>170.3</v>
      </c>
      <c r="D56">
        <v>970.81</v>
      </c>
      <c r="E56" s="1">
        <f>B56/B57-1</f>
        <v>1.0227127455575857E-2</v>
      </c>
      <c r="F56" s="1">
        <f>C56/C57-1</f>
        <v>-1.9340092598018055E-3</v>
      </c>
      <c r="G56" s="1">
        <f>D56/D57-1</f>
        <v>1.0744515820050093E-2</v>
      </c>
      <c r="H56" s="1"/>
    </row>
    <row r="57" spans="1:8" x14ac:dyDescent="0.3">
      <c r="A57" s="7">
        <v>45623</v>
      </c>
      <c r="B57">
        <v>234.67</v>
      </c>
      <c r="C57">
        <v>170.63</v>
      </c>
      <c r="D57">
        <v>960.49</v>
      </c>
      <c r="E57" s="1">
        <f>B57/B58-1</f>
        <v>-5.5366269165257886E-4</v>
      </c>
      <c r="F57" s="1">
        <f>C57/C58-1</f>
        <v>1.1735023176671078E-3</v>
      </c>
      <c r="G57" s="1">
        <f>D57/D58-1</f>
        <v>-1.0242882021371913E-2</v>
      </c>
      <c r="H57" s="1"/>
    </row>
    <row r="58" spans="1:8" x14ac:dyDescent="0.3">
      <c r="A58" s="7">
        <v>45622</v>
      </c>
      <c r="B58">
        <v>234.8</v>
      </c>
      <c r="C58">
        <v>170.43</v>
      </c>
      <c r="D58">
        <v>970.43</v>
      </c>
      <c r="E58" s="1">
        <f>B58/B59-1</f>
        <v>9.4149004771935108E-3</v>
      </c>
      <c r="F58" s="1">
        <f>C58/C59-1</f>
        <v>7.0314346490192303E-3</v>
      </c>
      <c r="G58" s="1">
        <f>D58/D59-1</f>
        <v>1.1043622308116952E-2</v>
      </c>
      <c r="H58" s="1"/>
    </row>
    <row r="59" spans="1:8" x14ac:dyDescent="0.3">
      <c r="A59" s="7">
        <v>45621</v>
      </c>
      <c r="B59">
        <v>232.61</v>
      </c>
      <c r="C59">
        <v>169.24</v>
      </c>
      <c r="D59">
        <v>959.83</v>
      </c>
      <c r="E59" s="1">
        <f>B59/B60-1</f>
        <v>1.3021513805417717E-2</v>
      </c>
      <c r="F59" s="1">
        <f>C59/C60-1</f>
        <v>1.7189566053612326E-2</v>
      </c>
      <c r="G59" s="1">
        <f>D59/D60-1</f>
        <v>-3.2400436159717438E-3</v>
      </c>
      <c r="H59" s="1"/>
    </row>
    <row r="60" spans="1:8" x14ac:dyDescent="0.3">
      <c r="A60" s="7">
        <v>45618</v>
      </c>
      <c r="B60">
        <v>229.62</v>
      </c>
      <c r="C60">
        <v>166.38</v>
      </c>
      <c r="D60">
        <v>962.95</v>
      </c>
      <c r="E60" s="1">
        <f>B60/B61-1</f>
        <v>5.9140491523195227E-3</v>
      </c>
      <c r="F60" s="1">
        <f>C60/C61-1</f>
        <v>-1.5794143744454425E-2</v>
      </c>
      <c r="G60" s="1">
        <f>D60/D61-1</f>
        <v>8.7471192122354768E-3</v>
      </c>
      <c r="H60" s="1"/>
    </row>
    <row r="61" spans="1:8" x14ac:dyDescent="0.3">
      <c r="A61" s="7">
        <v>45617</v>
      </c>
      <c r="B61">
        <v>228.27</v>
      </c>
      <c r="C61">
        <v>169.05</v>
      </c>
      <c r="D61">
        <v>954.6</v>
      </c>
      <c r="E61" s="1">
        <f t="shared" ref="E61:E124" si="8">B61/B62-1</f>
        <v>-2.0983606557376522E-3</v>
      </c>
      <c r="F61" s="1">
        <f t="shared" ref="F61:F124" si="9">C61/C62-1</f>
        <v>-4.5616214080054118E-2</v>
      </c>
      <c r="G61" s="1">
        <f t="shared" ref="G61:G124" si="10">D61/D62-1</f>
        <v>2.9706815092874317E-2</v>
      </c>
      <c r="H61" s="1"/>
    </row>
    <row r="62" spans="1:8" x14ac:dyDescent="0.3">
      <c r="A62" s="7">
        <v>45616</v>
      </c>
      <c r="B62">
        <v>228.75</v>
      </c>
      <c r="C62">
        <v>177.13</v>
      </c>
      <c r="D62">
        <v>927.06</v>
      </c>
      <c r="E62" s="1">
        <f t="shared" si="8"/>
        <v>3.1574792790423079E-3</v>
      </c>
      <c r="F62" s="1">
        <f t="shared" si="9"/>
        <v>-1.2543204370609851E-2</v>
      </c>
      <c r="G62" s="1">
        <f t="shared" si="10"/>
        <v>-2.2171517134493834E-3</v>
      </c>
    </row>
    <row r="63" spans="1:8" x14ac:dyDescent="0.3">
      <c r="A63" s="7">
        <v>45615</v>
      </c>
      <c r="B63">
        <v>228.03</v>
      </c>
      <c r="C63">
        <v>179.38</v>
      </c>
      <c r="D63">
        <v>929.12</v>
      </c>
      <c r="E63" s="1">
        <f t="shared" si="8"/>
        <v>1.1415023927645596E-3</v>
      </c>
      <c r="F63" s="1">
        <f t="shared" si="9"/>
        <v>1.5741789354473346E-2</v>
      </c>
      <c r="G63" s="1">
        <f t="shared" si="10"/>
        <v>1.1562329885683287E-2</v>
      </c>
    </row>
    <row r="64" spans="1:8" x14ac:dyDescent="0.3">
      <c r="A64" s="7">
        <v>45614</v>
      </c>
      <c r="B64">
        <v>227.77</v>
      </c>
      <c r="C64">
        <v>176.6</v>
      </c>
      <c r="D64">
        <v>918.5</v>
      </c>
      <c r="E64" s="1">
        <f t="shared" si="8"/>
        <v>1.3437152391546192E-2</v>
      </c>
      <c r="F64" s="1">
        <f t="shared" si="9"/>
        <v>1.675398698831243E-2</v>
      </c>
      <c r="G64" s="1">
        <f t="shared" si="10"/>
        <v>1.3718586864149618E-2</v>
      </c>
    </row>
    <row r="65" spans="1:7" x14ac:dyDescent="0.3">
      <c r="A65" s="7">
        <v>45611</v>
      </c>
      <c r="B65">
        <v>224.75</v>
      </c>
      <c r="C65">
        <v>173.69</v>
      </c>
      <c r="D65">
        <v>906.07</v>
      </c>
      <c r="E65" s="1">
        <f t="shared" si="8"/>
        <v>-1.4124665526165758E-2</v>
      </c>
      <c r="F65" s="1">
        <f t="shared" si="9"/>
        <v>-1.9531470505221638E-2</v>
      </c>
      <c r="G65" s="1">
        <f t="shared" si="10"/>
        <v>-1.8204080748100981E-2</v>
      </c>
    </row>
    <row r="66" spans="1:7" x14ac:dyDescent="0.3">
      <c r="A66" s="7">
        <v>45610</v>
      </c>
      <c r="B66">
        <v>227.97</v>
      </c>
      <c r="C66">
        <v>177.15</v>
      </c>
      <c r="D66">
        <v>922.87</v>
      </c>
      <c r="E66" s="1">
        <f t="shared" si="8"/>
        <v>1.37857428736603E-2</v>
      </c>
      <c r="F66" s="1">
        <f t="shared" si="9"/>
        <v>-1.741638471351703E-2</v>
      </c>
      <c r="G66" s="1">
        <f t="shared" si="10"/>
        <v>-1.0539294521282327E-2</v>
      </c>
    </row>
    <row r="67" spans="1:7" x14ac:dyDescent="0.3">
      <c r="A67" s="7">
        <v>45609</v>
      </c>
      <c r="B67">
        <v>224.87</v>
      </c>
      <c r="C67">
        <v>180.29</v>
      </c>
      <c r="D67">
        <v>932.7</v>
      </c>
      <c r="E67" s="1">
        <f t="shared" si="8"/>
        <v>3.9735690686668601E-3</v>
      </c>
      <c r="F67" s="1">
        <f t="shared" si="9"/>
        <v>-1.5400578887007965E-2</v>
      </c>
      <c r="G67" s="1">
        <f t="shared" si="10"/>
        <v>1.4495087775809878E-3</v>
      </c>
    </row>
    <row r="68" spans="1:7" x14ac:dyDescent="0.3">
      <c r="A68" s="7">
        <v>45608</v>
      </c>
      <c r="B68">
        <v>223.98</v>
      </c>
      <c r="C68">
        <v>183.11</v>
      </c>
      <c r="D68">
        <v>931.35</v>
      </c>
      <c r="E68" s="1">
        <f t="shared" si="8"/>
        <v>0</v>
      </c>
      <c r="F68" s="1">
        <f t="shared" si="9"/>
        <v>7.4273767605634866E-3</v>
      </c>
      <c r="G68" s="1">
        <f t="shared" si="10"/>
        <v>-5.3656704405213862E-4</v>
      </c>
    </row>
    <row r="69" spans="1:7" x14ac:dyDescent="0.3">
      <c r="A69" s="7">
        <v>45607</v>
      </c>
      <c r="B69">
        <v>223.98</v>
      </c>
      <c r="C69">
        <v>181.76</v>
      </c>
      <c r="D69">
        <v>931.85</v>
      </c>
      <c r="E69" s="1">
        <f t="shared" si="8"/>
        <v>-1.2041815535265399E-2</v>
      </c>
      <c r="F69" s="1">
        <f t="shared" si="9"/>
        <v>1.1688745407992807E-2</v>
      </c>
      <c r="G69" s="1">
        <f t="shared" si="10"/>
        <v>-1.1572404429547212E-2</v>
      </c>
    </row>
    <row r="70" spans="1:7" x14ac:dyDescent="0.3">
      <c r="A70" s="7">
        <v>45604</v>
      </c>
      <c r="B70">
        <v>226.71</v>
      </c>
      <c r="C70">
        <v>179.66</v>
      </c>
      <c r="D70">
        <v>942.76</v>
      </c>
      <c r="E70" s="1">
        <f t="shared" si="8"/>
        <v>-1.1895321173670537E-3</v>
      </c>
      <c r="F70" s="1">
        <f t="shared" si="9"/>
        <v>-1.3236667215905995E-2</v>
      </c>
      <c r="G70" s="1">
        <f t="shared" si="10"/>
        <v>3.2686325198264976E-2</v>
      </c>
    </row>
    <row r="71" spans="1:7" x14ac:dyDescent="0.3">
      <c r="A71" s="7">
        <v>45603</v>
      </c>
      <c r="B71">
        <v>226.98</v>
      </c>
      <c r="C71">
        <v>182.07</v>
      </c>
      <c r="D71">
        <v>912.92</v>
      </c>
      <c r="E71" s="1">
        <f t="shared" si="8"/>
        <v>2.1374251901183472E-2</v>
      </c>
      <c r="F71" s="1">
        <f t="shared" si="9"/>
        <v>2.2118677370459805E-2</v>
      </c>
      <c r="G71" s="1">
        <f t="shared" si="10"/>
        <v>1.632044174292524E-2</v>
      </c>
    </row>
    <row r="72" spans="1:7" x14ac:dyDescent="0.3">
      <c r="A72" s="7">
        <v>45602</v>
      </c>
      <c r="B72">
        <v>222.23</v>
      </c>
      <c r="C72">
        <v>178.13</v>
      </c>
      <c r="D72">
        <v>898.26</v>
      </c>
      <c r="E72" s="1">
        <f t="shared" si="8"/>
        <v>-3.2741298887694059E-3</v>
      </c>
      <c r="F72" s="1">
        <f t="shared" si="9"/>
        <v>4.0357434879102927E-2</v>
      </c>
      <c r="G72" s="1">
        <f t="shared" si="10"/>
        <v>1.0200294650187125E-2</v>
      </c>
    </row>
    <row r="73" spans="1:7" x14ac:dyDescent="0.3">
      <c r="A73" s="7">
        <v>45601</v>
      </c>
      <c r="B73">
        <v>222.96</v>
      </c>
      <c r="C73">
        <v>171.22</v>
      </c>
      <c r="D73">
        <v>889.19</v>
      </c>
      <c r="E73" s="1">
        <f t="shared" si="8"/>
        <v>6.50054171180936E-3</v>
      </c>
      <c r="F73" s="1">
        <f t="shared" si="9"/>
        <v>4.2817760572466668E-3</v>
      </c>
      <c r="G73" s="1">
        <f t="shared" si="10"/>
        <v>4.6322972805026286E-3</v>
      </c>
    </row>
    <row r="74" spans="1:7" x14ac:dyDescent="0.3">
      <c r="A74" s="7">
        <v>45600</v>
      </c>
      <c r="B74">
        <v>221.52</v>
      </c>
      <c r="C74">
        <v>170.49</v>
      </c>
      <c r="D74">
        <v>885.09</v>
      </c>
      <c r="E74" s="1">
        <f t="shared" si="8"/>
        <v>-4.046398705152332E-3</v>
      </c>
      <c r="F74" s="1">
        <f t="shared" si="9"/>
        <v>-1.1365613221223425E-2</v>
      </c>
      <c r="G74" s="1">
        <f t="shared" si="10"/>
        <v>9.9847091311591196E-3</v>
      </c>
    </row>
    <row r="75" spans="1:7" x14ac:dyDescent="0.3">
      <c r="A75" s="7">
        <v>45597</v>
      </c>
      <c r="B75">
        <v>222.42</v>
      </c>
      <c r="C75">
        <v>172.45</v>
      </c>
      <c r="D75">
        <v>876.34</v>
      </c>
      <c r="E75" s="1">
        <f t="shared" si="8"/>
        <v>-1.326471762565995E-2</v>
      </c>
      <c r="F75" s="1">
        <f t="shared" si="9"/>
        <v>-2.3189750130458986E-4</v>
      </c>
      <c r="G75" s="1">
        <f t="shared" si="10"/>
        <v>4.9079191798730992E-3</v>
      </c>
    </row>
    <row r="76" spans="1:7" x14ac:dyDescent="0.3">
      <c r="A76" s="7">
        <v>45596</v>
      </c>
      <c r="B76">
        <v>225.41</v>
      </c>
      <c r="C76">
        <v>172.49</v>
      </c>
      <c r="D76">
        <v>872.06</v>
      </c>
      <c r="E76" s="1">
        <f t="shared" si="8"/>
        <v>-1.8206367873165208E-2</v>
      </c>
      <c r="F76" s="1">
        <f t="shared" si="9"/>
        <v>-1.9608957599181465E-2</v>
      </c>
      <c r="G76" s="1">
        <f t="shared" si="10"/>
        <v>-5.5761445920521346E-3</v>
      </c>
    </row>
    <row r="77" spans="1:7" x14ac:dyDescent="0.3">
      <c r="A77" s="7">
        <v>45595</v>
      </c>
      <c r="B77">
        <v>229.59</v>
      </c>
      <c r="C77">
        <v>175.94</v>
      </c>
      <c r="D77">
        <v>876.95</v>
      </c>
      <c r="E77" s="1">
        <f t="shared" si="8"/>
        <v>-1.531137416366446E-2</v>
      </c>
      <c r="F77" s="1">
        <f t="shared" si="9"/>
        <v>2.9189821585258846E-2</v>
      </c>
      <c r="G77" s="1">
        <f t="shared" si="10"/>
        <v>-8.9168663261154357E-3</v>
      </c>
    </row>
    <row r="78" spans="1:7" x14ac:dyDescent="0.3">
      <c r="A78" s="7">
        <v>45594</v>
      </c>
      <c r="B78">
        <v>233.16</v>
      </c>
      <c r="C78">
        <v>170.95</v>
      </c>
      <c r="D78">
        <v>884.84</v>
      </c>
      <c r="E78" s="1">
        <f t="shared" si="8"/>
        <v>1.1593456138090374E-3</v>
      </c>
      <c r="F78" s="1">
        <f t="shared" si="9"/>
        <v>1.6651798988997824E-2</v>
      </c>
      <c r="G78" s="1">
        <f t="shared" si="10"/>
        <v>-4.4554455445543484E-3</v>
      </c>
    </row>
    <row r="79" spans="1:7" x14ac:dyDescent="0.3">
      <c r="A79" s="7">
        <v>45593</v>
      </c>
      <c r="B79">
        <v>232.89</v>
      </c>
      <c r="C79">
        <v>168.15</v>
      </c>
      <c r="D79">
        <v>888.8</v>
      </c>
      <c r="E79" s="1">
        <f t="shared" si="8"/>
        <v>8.6184495452577004E-3</v>
      </c>
      <c r="F79" s="1">
        <f t="shared" si="9"/>
        <v>8.0935251798561758E-3</v>
      </c>
      <c r="G79" s="1">
        <f t="shared" si="10"/>
        <v>-2.8119903267531665E-4</v>
      </c>
    </row>
    <row r="80" spans="1:7" x14ac:dyDescent="0.3">
      <c r="A80" s="7">
        <v>45590</v>
      </c>
      <c r="B80">
        <v>230.9</v>
      </c>
      <c r="C80">
        <v>166.8</v>
      </c>
      <c r="D80">
        <v>889.05</v>
      </c>
      <c r="E80" s="1">
        <f t="shared" si="8"/>
        <v>3.6512214204991178E-3</v>
      </c>
      <c r="F80" s="1">
        <f t="shared" si="9"/>
        <v>1.4968966776195636E-2</v>
      </c>
      <c r="G80" s="1">
        <f t="shared" si="10"/>
        <v>-2.4684431977559651E-3</v>
      </c>
    </row>
    <row r="81" spans="1:7" x14ac:dyDescent="0.3">
      <c r="A81" s="7">
        <v>45589</v>
      </c>
      <c r="B81">
        <v>230.06</v>
      </c>
      <c r="C81">
        <v>164.34</v>
      </c>
      <c r="D81">
        <v>891.25</v>
      </c>
      <c r="E81" s="1">
        <f t="shared" si="8"/>
        <v>-8.2519001085779031E-4</v>
      </c>
      <c r="F81" s="1">
        <f t="shared" si="9"/>
        <v>3.0433988678568724E-4</v>
      </c>
      <c r="G81" s="1">
        <f t="shared" si="10"/>
        <v>-6.3991794780321465E-3</v>
      </c>
    </row>
    <row r="82" spans="1:7" x14ac:dyDescent="0.3">
      <c r="A82" s="7">
        <v>45588</v>
      </c>
      <c r="B82">
        <v>230.25</v>
      </c>
      <c r="C82">
        <v>164.29</v>
      </c>
      <c r="D82">
        <v>896.99</v>
      </c>
      <c r="E82" s="1">
        <f t="shared" si="8"/>
        <v>-2.162828248491544E-2</v>
      </c>
      <c r="F82" s="1">
        <f t="shared" si="9"/>
        <v>-1.4043089479685578E-2</v>
      </c>
      <c r="G82" s="1">
        <f t="shared" si="10"/>
        <v>6.3613517030920441E-3</v>
      </c>
    </row>
    <row r="83" spans="1:7" x14ac:dyDescent="0.3">
      <c r="A83" s="7">
        <v>45587</v>
      </c>
      <c r="B83">
        <v>235.34</v>
      </c>
      <c r="C83">
        <v>166.63</v>
      </c>
      <c r="D83">
        <v>891.32</v>
      </c>
      <c r="E83" s="1">
        <f t="shared" si="8"/>
        <v>-2.6275639938972972E-3</v>
      </c>
      <c r="F83" s="1">
        <f t="shared" si="9"/>
        <v>6.1590483666444928E-3</v>
      </c>
      <c r="G83" s="1">
        <f t="shared" si="10"/>
        <v>7.5738735276165148E-3</v>
      </c>
    </row>
    <row r="84" spans="1:7" x14ac:dyDescent="0.3">
      <c r="A84" s="7">
        <v>45586</v>
      </c>
      <c r="B84">
        <v>235.96</v>
      </c>
      <c r="C84">
        <v>165.61</v>
      </c>
      <c r="D84">
        <v>884.62</v>
      </c>
      <c r="E84" s="1">
        <f t="shared" si="8"/>
        <v>6.3118389628114002E-3</v>
      </c>
      <c r="F84" s="1">
        <f t="shared" si="9"/>
        <v>4.5493145699382342E-3</v>
      </c>
      <c r="G84" s="1">
        <f t="shared" si="10"/>
        <v>-3.1327473518142357E-3</v>
      </c>
    </row>
    <row r="85" spans="1:7" x14ac:dyDescent="0.3">
      <c r="A85" s="7">
        <v>45583</v>
      </c>
      <c r="B85">
        <v>234.48</v>
      </c>
      <c r="C85">
        <v>164.86</v>
      </c>
      <c r="D85">
        <v>887.4</v>
      </c>
      <c r="E85" s="1">
        <f t="shared" si="8"/>
        <v>1.2260404075289166E-2</v>
      </c>
      <c r="F85" s="1">
        <f t="shared" si="9"/>
        <v>3.2862706913341366E-3</v>
      </c>
      <c r="G85" s="1">
        <f t="shared" si="10"/>
        <v>4.8236972620423479E-3</v>
      </c>
    </row>
    <row r="86" spans="1:7" x14ac:dyDescent="0.3">
      <c r="A86" s="7">
        <v>45582</v>
      </c>
      <c r="B86">
        <v>231.64</v>
      </c>
      <c r="C86">
        <v>164.32</v>
      </c>
      <c r="D86">
        <v>883.14</v>
      </c>
      <c r="E86" s="1">
        <f t="shared" si="8"/>
        <v>1.5998616335883842E-3</v>
      </c>
      <c r="F86" s="1">
        <f t="shared" si="9"/>
        <v>-1.3389372560792645E-2</v>
      </c>
      <c r="G86" s="1">
        <f t="shared" si="10"/>
        <v>-2.3496983800637139E-3</v>
      </c>
    </row>
    <row r="87" spans="1:7" x14ac:dyDescent="0.3">
      <c r="A87" s="7">
        <v>45581</v>
      </c>
      <c r="B87">
        <v>231.27</v>
      </c>
      <c r="C87">
        <v>166.55</v>
      </c>
      <c r="D87">
        <v>885.22</v>
      </c>
      <c r="E87" s="1">
        <f t="shared" si="8"/>
        <v>-8.8711751092825919E-3</v>
      </c>
      <c r="F87" s="1">
        <f t="shared" si="9"/>
        <v>-9.5975046487906113E-4</v>
      </c>
      <c r="G87" s="1">
        <f t="shared" si="10"/>
        <v>-8.0901797319707924E-3</v>
      </c>
    </row>
    <row r="88" spans="1:7" x14ac:dyDescent="0.3">
      <c r="A88" s="7">
        <v>45580</v>
      </c>
      <c r="B88">
        <v>233.34</v>
      </c>
      <c r="C88">
        <v>166.71</v>
      </c>
      <c r="D88">
        <v>892.44</v>
      </c>
      <c r="E88" s="1">
        <f t="shared" si="8"/>
        <v>1.1049005589496952E-2</v>
      </c>
      <c r="F88" s="1">
        <f t="shared" si="9"/>
        <v>3.3100625902744429E-3</v>
      </c>
      <c r="G88" s="1">
        <f t="shared" si="10"/>
        <v>5.4529067147364163E-3</v>
      </c>
    </row>
    <row r="89" spans="1:7" x14ac:dyDescent="0.3">
      <c r="A89" s="7">
        <v>45579</v>
      </c>
      <c r="B89">
        <v>230.79</v>
      </c>
      <c r="C89">
        <v>166.16</v>
      </c>
      <c r="D89">
        <v>887.6</v>
      </c>
      <c r="E89" s="1">
        <f t="shared" si="8"/>
        <v>1.647214269984576E-2</v>
      </c>
      <c r="F89" s="1">
        <f t="shared" si="9"/>
        <v>1.1136128521876509E-2</v>
      </c>
      <c r="G89" s="1">
        <f t="shared" si="10"/>
        <v>8.2311951018754215E-4</v>
      </c>
    </row>
    <row r="90" spans="1:7" x14ac:dyDescent="0.3">
      <c r="A90" s="7">
        <v>45576</v>
      </c>
      <c r="B90">
        <v>227.05</v>
      </c>
      <c r="C90">
        <v>164.33</v>
      </c>
      <c r="D90">
        <v>886.87</v>
      </c>
      <c r="E90" s="1">
        <f t="shared" si="8"/>
        <v>-6.5196464513870289E-3</v>
      </c>
      <c r="F90" s="1">
        <f t="shared" si="9"/>
        <v>8.1595092024540072E-3</v>
      </c>
      <c r="G90" s="1">
        <f t="shared" si="10"/>
        <v>-5.1488569313261623E-3</v>
      </c>
    </row>
    <row r="91" spans="1:7" x14ac:dyDescent="0.3">
      <c r="A91" s="7">
        <v>45575</v>
      </c>
      <c r="B91">
        <v>228.54</v>
      </c>
      <c r="C91">
        <v>163</v>
      </c>
      <c r="D91">
        <v>891.46</v>
      </c>
      <c r="E91" s="1">
        <f t="shared" si="8"/>
        <v>-2.1830247991617702E-3</v>
      </c>
      <c r="F91" s="1">
        <f t="shared" si="9"/>
        <v>7.3673870333990088E-4</v>
      </c>
      <c r="G91" s="1">
        <f t="shared" si="10"/>
        <v>-1.7014191357275887E-2</v>
      </c>
    </row>
    <row r="92" spans="1:7" x14ac:dyDescent="0.3">
      <c r="A92" s="7">
        <v>45574</v>
      </c>
      <c r="B92">
        <v>229.04</v>
      </c>
      <c r="C92">
        <v>162.88</v>
      </c>
      <c r="D92">
        <v>906.89</v>
      </c>
      <c r="E92" s="1">
        <f t="shared" si="8"/>
        <v>1.6735472987969846E-2</v>
      </c>
      <c r="F92" s="1">
        <f t="shared" si="9"/>
        <v>-1.5890278533019164E-2</v>
      </c>
      <c r="G92" s="1">
        <f t="shared" si="10"/>
        <v>2.0973588814086064E-2</v>
      </c>
    </row>
    <row r="93" spans="1:7" x14ac:dyDescent="0.3">
      <c r="A93" s="7">
        <v>45573</v>
      </c>
      <c r="B93">
        <v>225.27</v>
      </c>
      <c r="C93">
        <v>165.51</v>
      </c>
      <c r="D93">
        <v>888.26</v>
      </c>
      <c r="E93" s="1">
        <f t="shared" si="8"/>
        <v>1.839963833634739E-2</v>
      </c>
      <c r="F93" s="1">
        <f t="shared" si="9"/>
        <v>7.9780755176614981E-3</v>
      </c>
      <c r="G93" s="1">
        <f t="shared" si="10"/>
        <v>1.9266297176035785E-2</v>
      </c>
    </row>
    <row r="94" spans="1:7" x14ac:dyDescent="0.3">
      <c r="A94" s="7">
        <v>45572</v>
      </c>
      <c r="B94">
        <v>221.2</v>
      </c>
      <c r="C94">
        <v>164.2</v>
      </c>
      <c r="D94">
        <v>871.47</v>
      </c>
      <c r="E94" s="1">
        <f t="shared" si="8"/>
        <v>-2.253645603181631E-2</v>
      </c>
      <c r="F94" s="1">
        <f t="shared" si="9"/>
        <v>-2.4766882461246142E-2</v>
      </c>
      <c r="G94" s="1">
        <f t="shared" si="10"/>
        <v>-1.0772339266254982E-2</v>
      </c>
    </row>
    <row r="95" spans="1:7" x14ac:dyDescent="0.3">
      <c r="A95" s="7">
        <v>45569</v>
      </c>
      <c r="B95">
        <v>226.3</v>
      </c>
      <c r="C95">
        <v>168.37</v>
      </c>
      <c r="D95">
        <v>880.96</v>
      </c>
      <c r="E95" s="1">
        <f t="shared" si="8"/>
        <v>5.0184305191633971E-3</v>
      </c>
      <c r="F95" s="1">
        <f t="shared" si="9"/>
        <v>8.0828643276253942E-3</v>
      </c>
      <c r="G95" s="1">
        <f t="shared" si="10"/>
        <v>8.4941731346017679E-3</v>
      </c>
    </row>
    <row r="96" spans="1:7" x14ac:dyDescent="0.3">
      <c r="A96" s="7">
        <v>45568</v>
      </c>
      <c r="B96">
        <v>225.17</v>
      </c>
      <c r="C96">
        <v>167.02</v>
      </c>
      <c r="D96">
        <v>873.54</v>
      </c>
      <c r="E96" s="1">
        <f t="shared" si="8"/>
        <v>-4.9054269047198451E-3</v>
      </c>
      <c r="F96" s="1">
        <f t="shared" si="9"/>
        <v>-5.983724269985613E-4</v>
      </c>
      <c r="G96" s="1">
        <f t="shared" si="10"/>
        <v>-3.263350068461901E-3</v>
      </c>
    </row>
    <row r="97" spans="1:7" x14ac:dyDescent="0.3">
      <c r="A97" s="7">
        <v>45567</v>
      </c>
      <c r="B97">
        <v>226.28</v>
      </c>
      <c r="C97">
        <v>167.12</v>
      </c>
      <c r="D97">
        <v>876.4</v>
      </c>
      <c r="E97" s="1">
        <f t="shared" si="8"/>
        <v>2.5253644056533187E-3</v>
      </c>
      <c r="F97" s="1">
        <f t="shared" si="9"/>
        <v>-6.5981097307257208E-3</v>
      </c>
      <c r="G97" s="1">
        <f t="shared" si="10"/>
        <v>1.3139103113395389E-3</v>
      </c>
    </row>
    <row r="98" spans="1:7" x14ac:dyDescent="0.3">
      <c r="A98" s="7">
        <v>45566</v>
      </c>
      <c r="B98">
        <v>225.71</v>
      </c>
      <c r="C98">
        <v>168.23</v>
      </c>
      <c r="D98">
        <v>875.25</v>
      </c>
      <c r="E98" s="1">
        <f t="shared" si="8"/>
        <v>-2.9162544625575326E-2</v>
      </c>
      <c r="F98" s="1">
        <f t="shared" si="9"/>
        <v>7.3652694610777392E-3</v>
      </c>
      <c r="G98" s="1">
        <f t="shared" si="10"/>
        <v>-1.0312425794633429E-2</v>
      </c>
    </row>
    <row r="99" spans="1:7" x14ac:dyDescent="0.3">
      <c r="A99" s="7">
        <v>45565</v>
      </c>
      <c r="B99">
        <v>232.49</v>
      </c>
      <c r="C99">
        <v>167</v>
      </c>
      <c r="D99">
        <v>884.37</v>
      </c>
      <c r="E99" s="1">
        <f t="shared" si="8"/>
        <v>2.2878261252144982E-2</v>
      </c>
      <c r="F99" s="1">
        <f t="shared" si="9"/>
        <v>1.1508176862507602E-2</v>
      </c>
      <c r="G99" s="1">
        <f t="shared" si="10"/>
        <v>1.0187103127441421E-3</v>
      </c>
    </row>
    <row r="100" spans="1:7" x14ac:dyDescent="0.3">
      <c r="A100" s="7">
        <v>45562</v>
      </c>
      <c r="B100">
        <v>227.29</v>
      </c>
      <c r="C100">
        <v>165.1</v>
      </c>
      <c r="D100">
        <v>883.47</v>
      </c>
      <c r="E100" s="1">
        <f t="shared" si="8"/>
        <v>1.1893225266494944E-3</v>
      </c>
      <c r="F100" s="1">
        <f t="shared" si="9"/>
        <v>8.9220239550231728E-3</v>
      </c>
      <c r="G100" s="1">
        <f t="shared" si="10"/>
        <v>-1.7547956630525441E-2</v>
      </c>
    </row>
    <row r="101" spans="1:7" x14ac:dyDescent="0.3">
      <c r="A101" s="7">
        <v>45561</v>
      </c>
      <c r="B101">
        <v>227.02</v>
      </c>
      <c r="C101">
        <v>163.63999999999999</v>
      </c>
      <c r="D101">
        <v>899.25</v>
      </c>
      <c r="E101" s="1">
        <f t="shared" si="8"/>
        <v>5.091424270598166E-3</v>
      </c>
      <c r="F101" s="1">
        <f t="shared" si="9"/>
        <v>5.0979669553465889E-3</v>
      </c>
      <c r="G101" s="1">
        <f t="shared" si="10"/>
        <v>-7.680338994272895E-3</v>
      </c>
    </row>
    <row r="102" spans="1:7" x14ac:dyDescent="0.3">
      <c r="A102" s="7">
        <v>45560</v>
      </c>
      <c r="B102">
        <v>225.87</v>
      </c>
      <c r="C102">
        <v>162.81</v>
      </c>
      <c r="D102">
        <v>906.21</v>
      </c>
      <c r="E102" s="1">
        <f t="shared" si="8"/>
        <v>-4.4078106404549233E-3</v>
      </c>
      <c r="F102" s="1">
        <f t="shared" si="9"/>
        <v>-3.9155705108595562E-3</v>
      </c>
      <c r="G102" s="1">
        <f t="shared" si="10"/>
        <v>7.6277311391561575E-3</v>
      </c>
    </row>
    <row r="103" spans="1:7" x14ac:dyDescent="0.3">
      <c r="A103" s="7">
        <v>45559</v>
      </c>
      <c r="B103">
        <v>226.87</v>
      </c>
      <c r="C103">
        <v>163.44999999999999</v>
      </c>
      <c r="D103">
        <v>899.35</v>
      </c>
      <c r="E103" s="1">
        <f t="shared" si="8"/>
        <v>3.9828295791477508E-3</v>
      </c>
      <c r="F103" s="1">
        <f t="shared" si="9"/>
        <v>3.4379028792437261E-3</v>
      </c>
      <c r="G103" s="1">
        <f t="shared" si="10"/>
        <v>-1.694266819697221E-2</v>
      </c>
    </row>
    <row r="104" spans="1:7" x14ac:dyDescent="0.3">
      <c r="A104" s="7">
        <v>45558</v>
      </c>
      <c r="B104">
        <v>225.97</v>
      </c>
      <c r="C104">
        <v>162.88999999999999</v>
      </c>
      <c r="D104">
        <v>914.85</v>
      </c>
      <c r="E104" s="1">
        <f t="shared" si="8"/>
        <v>-7.5977162933684728E-3</v>
      </c>
      <c r="F104" s="1">
        <f t="shared" si="9"/>
        <v>-9.4861660079051946E-3</v>
      </c>
      <c r="G104" s="1">
        <f t="shared" si="10"/>
        <v>1.1129777404451868E-2</v>
      </c>
    </row>
    <row r="105" spans="1:7" x14ac:dyDescent="0.3">
      <c r="A105" s="7">
        <v>45555</v>
      </c>
      <c r="B105">
        <v>227.7</v>
      </c>
      <c r="C105">
        <v>164.45</v>
      </c>
      <c r="D105">
        <v>904.78</v>
      </c>
      <c r="E105" s="1">
        <f t="shared" si="8"/>
        <v>-2.9338354424837121E-3</v>
      </c>
      <c r="F105" s="1">
        <f t="shared" si="9"/>
        <v>8.5244695204218512E-3</v>
      </c>
      <c r="G105" s="1">
        <f t="shared" si="10"/>
        <v>6.9333926882200192E-3</v>
      </c>
    </row>
    <row r="106" spans="1:7" x14ac:dyDescent="0.3">
      <c r="A106" s="7">
        <v>45554</v>
      </c>
      <c r="B106">
        <v>228.37</v>
      </c>
      <c r="C106">
        <v>163.06</v>
      </c>
      <c r="D106">
        <v>898.55</v>
      </c>
      <c r="E106" s="1">
        <f t="shared" si="8"/>
        <v>3.7055537895644974E-2</v>
      </c>
      <c r="F106" s="1">
        <f t="shared" si="9"/>
        <v>1.5127933760816781E-2</v>
      </c>
      <c r="G106" s="1">
        <f t="shared" si="10"/>
        <v>9.209861290503607E-3</v>
      </c>
    </row>
    <row r="107" spans="1:7" x14ac:dyDescent="0.3">
      <c r="A107" s="7">
        <v>45553</v>
      </c>
      <c r="B107">
        <v>220.21</v>
      </c>
      <c r="C107">
        <v>160.63</v>
      </c>
      <c r="D107">
        <v>890.35</v>
      </c>
      <c r="E107" s="1">
        <f t="shared" si="8"/>
        <v>1.802967962646207E-2</v>
      </c>
      <c r="F107" s="1">
        <f t="shared" si="9"/>
        <v>3.3104309806371024E-3</v>
      </c>
      <c r="G107" s="1">
        <f t="shared" si="10"/>
        <v>-5.2955568713760615E-3</v>
      </c>
    </row>
    <row r="108" spans="1:7" x14ac:dyDescent="0.3">
      <c r="A108" s="7">
        <v>45552</v>
      </c>
      <c r="B108">
        <v>216.31</v>
      </c>
      <c r="C108">
        <v>160.1</v>
      </c>
      <c r="D108">
        <v>895.09</v>
      </c>
      <c r="E108" s="1">
        <f t="shared" si="8"/>
        <v>2.1775389177167703E-3</v>
      </c>
      <c r="F108" s="1">
        <f t="shared" si="9"/>
        <v>8.1229141741703259E-3</v>
      </c>
      <c r="G108" s="1">
        <f t="shared" si="10"/>
        <v>-1.1671046529602602E-2</v>
      </c>
    </row>
    <row r="109" spans="1:7" x14ac:dyDescent="0.3">
      <c r="A109" s="7">
        <v>45551</v>
      </c>
      <c r="B109">
        <v>215.84</v>
      </c>
      <c r="C109">
        <v>158.81</v>
      </c>
      <c r="D109">
        <v>905.66</v>
      </c>
      <c r="E109" s="1">
        <f t="shared" si="8"/>
        <v>-2.7791540921580093E-2</v>
      </c>
      <c r="F109" s="1">
        <f t="shared" si="9"/>
        <v>3.9193375055313062E-3</v>
      </c>
      <c r="G109" s="1">
        <f t="shared" si="10"/>
        <v>-8.8753187344736695E-3</v>
      </c>
    </row>
    <row r="110" spans="1:7" x14ac:dyDescent="0.3">
      <c r="A110" s="7">
        <v>45548</v>
      </c>
      <c r="B110">
        <v>222.01</v>
      </c>
      <c r="C110">
        <v>158.19</v>
      </c>
      <c r="D110">
        <v>913.77</v>
      </c>
      <c r="E110" s="1">
        <f t="shared" si="8"/>
        <v>-1.2146841821126797E-3</v>
      </c>
      <c r="F110" s="1">
        <f t="shared" si="9"/>
        <v>1.8215756951596163E-2</v>
      </c>
      <c r="G110" s="1">
        <f t="shared" si="10"/>
        <v>1.0516975055050448E-3</v>
      </c>
    </row>
    <row r="111" spans="1:7" x14ac:dyDescent="0.3">
      <c r="A111" s="7">
        <v>45547</v>
      </c>
      <c r="B111">
        <v>222.28</v>
      </c>
      <c r="C111">
        <v>155.36000000000001</v>
      </c>
      <c r="D111">
        <v>912.81</v>
      </c>
      <c r="E111" s="1">
        <f t="shared" si="8"/>
        <v>4.9511635234278373E-4</v>
      </c>
      <c r="F111" s="1">
        <f t="shared" si="9"/>
        <v>2.2239768390577952E-2</v>
      </c>
      <c r="G111" s="1">
        <f t="shared" si="10"/>
        <v>1.6254550717538008E-2</v>
      </c>
    </row>
    <row r="112" spans="1:7" x14ac:dyDescent="0.3">
      <c r="A112" s="7">
        <v>45546</v>
      </c>
      <c r="B112">
        <v>222.17</v>
      </c>
      <c r="C112">
        <v>151.97999999999999</v>
      </c>
      <c r="D112">
        <v>898.21</v>
      </c>
      <c r="E112" s="1">
        <f t="shared" si="8"/>
        <v>1.1564904612302529E-2</v>
      </c>
      <c r="F112" s="1">
        <f t="shared" si="9"/>
        <v>1.4281900694073535E-2</v>
      </c>
      <c r="G112" s="1">
        <f t="shared" si="10"/>
        <v>6.8264359054837076E-3</v>
      </c>
    </row>
    <row r="113" spans="1:7" x14ac:dyDescent="0.3">
      <c r="A113" s="7">
        <v>45545</v>
      </c>
      <c r="B113">
        <v>219.63</v>
      </c>
      <c r="C113">
        <v>149.84</v>
      </c>
      <c r="D113">
        <v>892.12</v>
      </c>
      <c r="E113" s="1">
        <f t="shared" si="8"/>
        <v>-3.584066781598727E-3</v>
      </c>
      <c r="F113" s="1">
        <f t="shared" si="9"/>
        <v>3.1465488384547768E-3</v>
      </c>
      <c r="G113" s="1">
        <f t="shared" si="10"/>
        <v>-2.4488152877636393E-3</v>
      </c>
    </row>
    <row r="114" spans="1:7" x14ac:dyDescent="0.3">
      <c r="A114" s="7">
        <v>45544</v>
      </c>
      <c r="B114">
        <v>220.42</v>
      </c>
      <c r="C114">
        <v>149.37</v>
      </c>
      <c r="D114">
        <v>894.31</v>
      </c>
      <c r="E114" s="1">
        <f t="shared" si="8"/>
        <v>3.6307524734491281E-4</v>
      </c>
      <c r="F114" s="1">
        <f t="shared" si="9"/>
        <v>-1.5748550342646217E-2</v>
      </c>
      <c r="G114" s="1">
        <f t="shared" si="10"/>
        <v>2.2594477159682214E-2</v>
      </c>
    </row>
    <row r="115" spans="1:7" x14ac:dyDescent="0.3">
      <c r="A115" s="7">
        <v>45541</v>
      </c>
      <c r="B115">
        <v>220.34</v>
      </c>
      <c r="C115">
        <v>151.76</v>
      </c>
      <c r="D115">
        <v>874.55</v>
      </c>
      <c r="E115" s="1">
        <f t="shared" si="8"/>
        <v>-6.9854432376401654E-3</v>
      </c>
      <c r="F115" s="1">
        <f t="shared" si="9"/>
        <v>-4.0768598697933256E-2</v>
      </c>
      <c r="G115" s="1">
        <f t="shared" si="10"/>
        <v>-1.0499756740549704E-2</v>
      </c>
    </row>
    <row r="116" spans="1:7" x14ac:dyDescent="0.3">
      <c r="A116" s="7">
        <v>45540</v>
      </c>
      <c r="B116">
        <v>221.89</v>
      </c>
      <c r="C116">
        <v>158.21</v>
      </c>
      <c r="D116">
        <v>883.83</v>
      </c>
      <c r="E116" s="1">
        <f t="shared" si="8"/>
        <v>6.8974905840177847E-3</v>
      </c>
      <c r="F116" s="1">
        <f t="shared" si="9"/>
        <v>5.018422055647509E-3</v>
      </c>
      <c r="G116" s="1">
        <f t="shared" si="10"/>
        <v>-4.5390038970107849E-3</v>
      </c>
    </row>
    <row r="117" spans="1:7" x14ac:dyDescent="0.3">
      <c r="A117" s="7">
        <v>45539</v>
      </c>
      <c r="B117">
        <v>220.37</v>
      </c>
      <c r="C117">
        <v>157.41999999999999</v>
      </c>
      <c r="D117">
        <v>887.86</v>
      </c>
      <c r="E117" s="1">
        <f t="shared" si="8"/>
        <v>-8.5927658808709895E-3</v>
      </c>
      <c r="F117" s="1">
        <f t="shared" si="9"/>
        <v>-5.0562507900392406E-3</v>
      </c>
      <c r="G117" s="1">
        <f t="shared" si="10"/>
        <v>1.3029984939071593E-2</v>
      </c>
    </row>
    <row r="118" spans="1:7" x14ac:dyDescent="0.3">
      <c r="A118" s="7">
        <v>45538</v>
      </c>
      <c r="B118">
        <v>222.28</v>
      </c>
      <c r="C118">
        <v>158.22</v>
      </c>
      <c r="D118">
        <v>876.44</v>
      </c>
      <c r="E118" s="1">
        <f t="shared" si="8"/>
        <v>-2.7221006564551398E-2</v>
      </c>
      <c r="F118" s="1">
        <f t="shared" si="9"/>
        <v>-3.9402586363912362E-2</v>
      </c>
      <c r="G118" s="1">
        <f t="shared" si="10"/>
        <v>-1.5468260298131864E-2</v>
      </c>
    </row>
    <row r="119" spans="1:7" x14ac:dyDescent="0.3">
      <c r="A119" s="7">
        <v>45534</v>
      </c>
      <c r="B119">
        <v>228.5</v>
      </c>
      <c r="C119">
        <v>164.71</v>
      </c>
      <c r="D119">
        <v>890.21</v>
      </c>
      <c r="E119" s="1">
        <f t="shared" si="8"/>
        <v>-3.4454184656984577E-3</v>
      </c>
      <c r="F119" s="1">
        <f t="shared" si="9"/>
        <v>1.0490797546012232E-2</v>
      </c>
      <c r="G119" s="1">
        <f t="shared" si="10"/>
        <v>6.4783827785817039E-3</v>
      </c>
    </row>
    <row r="120" spans="1:7" x14ac:dyDescent="0.3">
      <c r="A120" s="7">
        <v>45533</v>
      </c>
      <c r="B120">
        <v>229.29</v>
      </c>
      <c r="C120">
        <v>163</v>
      </c>
      <c r="D120">
        <v>884.48</v>
      </c>
      <c r="E120" s="1">
        <f t="shared" si="8"/>
        <v>1.460241603610779E-2</v>
      </c>
      <c r="F120" s="1">
        <f t="shared" si="9"/>
        <v>-6.7032297379646666E-3</v>
      </c>
      <c r="G120" s="1">
        <f t="shared" si="10"/>
        <v>-1.5916197270541277E-3</v>
      </c>
    </row>
    <row r="121" spans="1:7" x14ac:dyDescent="0.3">
      <c r="A121" s="7">
        <v>45532</v>
      </c>
      <c r="B121">
        <v>225.99</v>
      </c>
      <c r="C121">
        <v>164.1</v>
      </c>
      <c r="D121">
        <v>885.89</v>
      </c>
      <c r="E121" s="1">
        <f t="shared" si="8"/>
        <v>-6.7683382411110049E-3</v>
      </c>
      <c r="F121" s="1">
        <f t="shared" si="9"/>
        <v>-1.126709646321622E-2</v>
      </c>
      <c r="G121" s="1">
        <f t="shared" si="10"/>
        <v>-2.2940586087858095E-2</v>
      </c>
    </row>
    <row r="122" spans="1:7" x14ac:dyDescent="0.3">
      <c r="A122" s="7">
        <v>45531</v>
      </c>
      <c r="B122">
        <v>227.53</v>
      </c>
      <c r="C122">
        <v>165.97</v>
      </c>
      <c r="D122">
        <v>906.69</v>
      </c>
      <c r="E122" s="1">
        <f t="shared" si="8"/>
        <v>3.749779424739641E-3</v>
      </c>
      <c r="F122" s="1">
        <f t="shared" si="9"/>
        <v>-9.2526265520535E-3</v>
      </c>
      <c r="G122" s="1">
        <f t="shared" si="10"/>
        <v>1.8363771143607988E-2</v>
      </c>
    </row>
    <row r="123" spans="1:7" x14ac:dyDescent="0.3">
      <c r="A123" s="7">
        <v>45530</v>
      </c>
      <c r="B123">
        <v>226.68</v>
      </c>
      <c r="C123">
        <v>167.52</v>
      </c>
      <c r="D123">
        <v>890.34</v>
      </c>
      <c r="E123" s="1">
        <f t="shared" si="8"/>
        <v>1.5021648846866853E-3</v>
      </c>
      <c r="F123" s="1">
        <f t="shared" si="9"/>
        <v>2.9936534546761706E-3</v>
      </c>
      <c r="G123" s="1">
        <f t="shared" si="10"/>
        <v>1.5129921214954267E-2</v>
      </c>
    </row>
    <row r="124" spans="1:7" x14ac:dyDescent="0.3">
      <c r="A124" s="7">
        <v>45527</v>
      </c>
      <c r="B124">
        <v>226.34</v>
      </c>
      <c r="C124">
        <v>167.02</v>
      </c>
      <c r="D124">
        <v>877.07</v>
      </c>
      <c r="E124" s="1">
        <f t="shared" si="8"/>
        <v>1.0266023924299317E-2</v>
      </c>
      <c r="F124" s="1">
        <f t="shared" si="9"/>
        <v>1.1690593009873407E-2</v>
      </c>
      <c r="G124" s="1">
        <f t="shared" si="10"/>
        <v>1.8733650891562537E-3</v>
      </c>
    </row>
    <row r="125" spans="1:7" x14ac:dyDescent="0.3">
      <c r="A125" s="7">
        <v>45526</v>
      </c>
      <c r="B125">
        <v>224.04</v>
      </c>
      <c r="C125">
        <v>165.09</v>
      </c>
      <c r="D125">
        <v>875.43</v>
      </c>
      <c r="E125" s="1">
        <f t="shared" ref="E125:E126" si="11">B125/B126-1</f>
        <v>-8.2337317397078724E-3</v>
      </c>
      <c r="F125" s="1">
        <f t="shared" ref="F125:F126" si="12">C125/C126-1</f>
        <v>-1.273771080014352E-2</v>
      </c>
      <c r="G125" s="1">
        <f t="shared" ref="G125:G126" si="13">D125/D126-1</f>
        <v>-4.3785824765717463E-3</v>
      </c>
    </row>
    <row r="126" spans="1:7" x14ac:dyDescent="0.3">
      <c r="A126" s="7">
        <v>45525</v>
      </c>
      <c r="B126">
        <v>225.9</v>
      </c>
      <c r="C126">
        <v>167.22</v>
      </c>
      <c r="D126">
        <v>879.28</v>
      </c>
      <c r="E126" s="1">
        <f t="shared" si="11"/>
        <v>-4.8670412813589525E-4</v>
      </c>
      <c r="F126" s="1">
        <f t="shared" si="12"/>
        <v>-7.890833580539991E-3</v>
      </c>
      <c r="G126" s="1">
        <f t="shared" si="13"/>
        <v>5.9606210028944062E-3</v>
      </c>
    </row>
    <row r="127" spans="1:7" x14ac:dyDescent="0.3">
      <c r="A127" s="7">
        <v>45524</v>
      </c>
      <c r="B127">
        <v>226.01</v>
      </c>
      <c r="C127">
        <v>168.55</v>
      </c>
      <c r="D127">
        <v>874.07</v>
      </c>
      <c r="E127" s="1"/>
      <c r="F127" s="1"/>
      <c r="G127" s="1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686974-17CD-477B-B473-720B5DD4F17E}">
  <sheetPr codeName="Sheet1"/>
  <dimension ref="B2:K30"/>
  <sheetViews>
    <sheetView workbookViewId="0">
      <selection activeCell="J6" sqref="J6"/>
    </sheetView>
  </sheetViews>
  <sheetFormatPr defaultRowHeight="14.4" x14ac:dyDescent="0.3"/>
  <cols>
    <col min="2" max="2" width="24.109375" bestFit="1" customWidth="1"/>
    <col min="3" max="3" width="10" bestFit="1" customWidth="1"/>
    <col min="7" max="7" width="9" bestFit="1" customWidth="1"/>
    <col min="8" max="8" width="7" bestFit="1" customWidth="1"/>
  </cols>
  <sheetData>
    <row r="2" spans="2:11" x14ac:dyDescent="0.3">
      <c r="B2" s="20" t="s">
        <v>41</v>
      </c>
    </row>
    <row r="3" spans="2:11" x14ac:dyDescent="0.3">
      <c r="J3" t="s">
        <v>28</v>
      </c>
    </row>
    <row r="4" spans="2:11" x14ac:dyDescent="0.3">
      <c r="B4" t="s">
        <v>23</v>
      </c>
      <c r="C4" s="9">
        <f>'Q1-4'!J2</f>
        <v>7.660621326263941E-4</v>
      </c>
      <c r="F4" t="s">
        <v>2</v>
      </c>
      <c r="G4" t="s">
        <v>27</v>
      </c>
      <c r="H4" t="s">
        <v>3</v>
      </c>
      <c r="J4" t="s">
        <v>27</v>
      </c>
      <c r="K4" t="s">
        <v>3</v>
      </c>
    </row>
    <row r="5" spans="2:11" x14ac:dyDescent="0.3">
      <c r="B5" t="s">
        <v>24</v>
      </c>
      <c r="C5" s="9">
        <f>'Q1-4'!J3</f>
        <v>1.3646247866925835E-2</v>
      </c>
      <c r="F5" s="10">
        <v>0</v>
      </c>
      <c r="G5" s="16">
        <f>SQRT((F5*$C$5)^2+((1-F5)*$C$7)^2+2*F5*(1-F5)*$C$8)</f>
        <v>1.7818096523897802E-2</v>
      </c>
      <c r="H5" s="16">
        <f>F5*$C$4+(1-F5)*$C$6</f>
        <v>9.7534062390419154E-4</v>
      </c>
      <c r="J5">
        <v>0</v>
      </c>
      <c r="K5" s="15">
        <f>C10</f>
        <v>1.6654761904761904E-4</v>
      </c>
    </row>
    <row r="6" spans="2:11" x14ac:dyDescent="0.3">
      <c r="B6" t="s">
        <v>25</v>
      </c>
      <c r="C6" s="9">
        <f>'Q1-4'!K2</f>
        <v>9.7534062390419154E-4</v>
      </c>
      <c r="F6" s="10">
        <v>0.1</v>
      </c>
      <c r="G6" s="16">
        <f t="shared" ref="G6:G15" si="0">SQRT((F6*$C$5)^2+((1-F6)*$C$7)^2+2*F6*(1-F6)*$C$8)</f>
        <v>1.6463049189658026E-2</v>
      </c>
      <c r="H6" s="16">
        <f t="shared" ref="H6:H15" si="1">F6*$C$4+(1-F6)*$C$6</f>
        <v>9.5441277477641183E-4</v>
      </c>
      <c r="J6" s="12">
        <f>C20</f>
        <v>1.2387144632524143E-2</v>
      </c>
      <c r="K6" s="12">
        <f>C18</f>
        <v>8.5978749890690373E-4</v>
      </c>
    </row>
    <row r="7" spans="2:11" x14ac:dyDescent="0.3">
      <c r="B7" t="s">
        <v>26</v>
      </c>
      <c r="C7" s="9">
        <f>'Q1-4'!K3</f>
        <v>1.7818096523897802E-2</v>
      </c>
      <c r="F7" s="10">
        <v>0.2</v>
      </c>
      <c r="G7" s="16">
        <f t="shared" si="0"/>
        <v>1.5231061009278048E-2</v>
      </c>
      <c r="H7" s="16">
        <f t="shared" si="1"/>
        <v>9.3348492564863212E-4</v>
      </c>
      <c r="J7" s="15">
        <f>C30</f>
        <v>9.3274102631514793E-3</v>
      </c>
      <c r="K7" s="15">
        <f>C29</f>
        <v>6.8855111235048029E-4</v>
      </c>
    </row>
    <row r="8" spans="2:11" x14ac:dyDescent="0.3">
      <c r="B8" t="s">
        <v>13</v>
      </c>
      <c r="C8" s="11">
        <f>'Q1-4'!Q13</f>
        <v>6.670717326301858E-5</v>
      </c>
      <c r="F8" s="10">
        <v>0.3</v>
      </c>
      <c r="G8" s="16">
        <f t="shared" si="0"/>
        <v>1.4154301688062533E-2</v>
      </c>
      <c r="H8" s="16">
        <f t="shared" si="1"/>
        <v>9.1255707652085219E-4</v>
      </c>
    </row>
    <row r="9" spans="2:11" x14ac:dyDescent="0.3">
      <c r="F9" s="10">
        <v>0.4</v>
      </c>
      <c r="G9" s="16">
        <f t="shared" si="0"/>
        <v>1.327061034941948E-2</v>
      </c>
      <c r="H9" s="16">
        <f t="shared" si="1"/>
        <v>8.9162922739307259E-4</v>
      </c>
    </row>
    <row r="10" spans="2:11" x14ac:dyDescent="0.3">
      <c r="B10" t="s">
        <v>17</v>
      </c>
      <c r="C10" s="15">
        <f>4.197%/252</f>
        <v>1.6654761904761904E-4</v>
      </c>
      <c r="F10" s="10">
        <v>0.5</v>
      </c>
      <c r="G10" s="16">
        <f t="shared" si="0"/>
        <v>1.2620608058910573E-2</v>
      </c>
      <c r="H10" s="16">
        <f t="shared" si="1"/>
        <v>8.7070137826529277E-4</v>
      </c>
    </row>
    <row r="11" spans="2:11" x14ac:dyDescent="0.3">
      <c r="B11" t="s">
        <v>18</v>
      </c>
      <c r="C11" s="5">
        <f>C4-C10</f>
        <v>5.995145135787751E-4</v>
      </c>
      <c r="F11" s="10">
        <v>0.6</v>
      </c>
      <c r="G11" s="16">
        <f t="shared" si="0"/>
        <v>1.2241576796648673E-2</v>
      </c>
      <c r="H11" s="16">
        <f t="shared" si="1"/>
        <v>8.4977352913751306E-4</v>
      </c>
    </row>
    <row r="12" spans="2:11" x14ac:dyDescent="0.3">
      <c r="B12" t="s">
        <v>19</v>
      </c>
      <c r="C12" s="5">
        <f>C6-C10</f>
        <v>8.0879300485657253E-4</v>
      </c>
      <c r="F12" s="10">
        <v>0.7</v>
      </c>
      <c r="G12" s="16">
        <f t="shared" si="0"/>
        <v>1.2158884123181102E-2</v>
      </c>
      <c r="H12" s="16">
        <f t="shared" si="1"/>
        <v>8.2884568000973335E-4</v>
      </c>
    </row>
    <row r="13" spans="2:11" x14ac:dyDescent="0.3">
      <c r="B13" t="s">
        <v>20</v>
      </c>
      <c r="C13" s="13">
        <f>(C11*C7^2-C12*C8)</f>
        <v>1.3638430868743671E-7</v>
      </c>
      <c r="F13" s="10">
        <v>0.8</v>
      </c>
      <c r="G13" s="16">
        <f t="shared" si="0"/>
        <v>1.237847041175659E-2</v>
      </c>
      <c r="H13" s="16">
        <f t="shared" si="1"/>
        <v>8.0791783088195364E-4</v>
      </c>
    </row>
    <row r="14" spans="2:11" x14ac:dyDescent="0.3">
      <c r="B14" t="s">
        <v>21</v>
      </c>
      <c r="C14" s="13">
        <f>(C12*C5^2-C11*C8)</f>
        <v>1.1062158022073518E-7</v>
      </c>
      <c r="F14" s="10">
        <v>0.9</v>
      </c>
      <c r="G14" s="16">
        <f t="shared" si="0"/>
        <v>1.2884890465565117E-2</v>
      </c>
      <c r="H14" s="16">
        <f t="shared" si="1"/>
        <v>7.8698998175417382E-4</v>
      </c>
    </row>
    <row r="15" spans="2:11" x14ac:dyDescent="0.3">
      <c r="F15" s="10">
        <v>1</v>
      </c>
      <c r="G15" s="16">
        <f t="shared" si="0"/>
        <v>1.3646247866925835E-2</v>
      </c>
      <c r="H15" s="16">
        <f t="shared" si="1"/>
        <v>7.660621326263941E-4</v>
      </c>
    </row>
    <row r="16" spans="2:11" x14ac:dyDescent="0.3">
      <c r="B16" t="s">
        <v>14</v>
      </c>
      <c r="C16" s="12">
        <f>C13/(C13+C14)</f>
        <v>0.55215002885271125</v>
      </c>
    </row>
    <row r="17" spans="2:3" x14ac:dyDescent="0.3">
      <c r="B17" t="s">
        <v>15</v>
      </c>
      <c r="C17" s="12">
        <f>1-C16</f>
        <v>0.44784997114728875</v>
      </c>
    </row>
    <row r="18" spans="2:3" x14ac:dyDescent="0.3">
      <c r="B18" t="s">
        <v>32</v>
      </c>
      <c r="C18" s="18">
        <f>C16*C4+C17*C6</f>
        <v>8.5978749890690373E-4</v>
      </c>
    </row>
    <row r="19" spans="2:3" x14ac:dyDescent="0.3">
      <c r="B19" t="s">
        <v>16</v>
      </c>
      <c r="C19" s="14">
        <f>C16^2*C5^2+C17^2*C7^2+2*C16*C17*C8</f>
        <v>1.5344135214707169E-4</v>
      </c>
    </row>
    <row r="20" spans="2:3" x14ac:dyDescent="0.3">
      <c r="B20" t="s">
        <v>31</v>
      </c>
      <c r="C20" s="18">
        <f>SQRT(C19)</f>
        <v>1.2387144632524143E-2</v>
      </c>
    </row>
    <row r="21" spans="2:3" x14ac:dyDescent="0.3">
      <c r="B21" t="s">
        <v>22</v>
      </c>
      <c r="C21" s="12">
        <f>(C18-C10)/C20</f>
        <v>5.5964461578908872E-2</v>
      </c>
    </row>
    <row r="24" spans="2:3" x14ac:dyDescent="0.3">
      <c r="B24" s="20" t="s">
        <v>42</v>
      </c>
    </row>
    <row r="26" spans="2:3" x14ac:dyDescent="0.3">
      <c r="B26" t="s">
        <v>29</v>
      </c>
    </row>
    <row r="27" spans="2:3" x14ac:dyDescent="0.3">
      <c r="B27" t="s">
        <v>30</v>
      </c>
      <c r="C27">
        <v>6</v>
      </c>
    </row>
    <row r="28" spans="2:3" x14ac:dyDescent="0.3">
      <c r="B28" t="s">
        <v>33</v>
      </c>
      <c r="C28" s="17">
        <f>(C18-C10)/(C27*C20^2)</f>
        <v>0.7529911484734817</v>
      </c>
    </row>
    <row r="29" spans="2:3" x14ac:dyDescent="0.3">
      <c r="B29" t="s">
        <v>34</v>
      </c>
      <c r="C29" s="18">
        <f>C28*C18+(1-C28)*C10</f>
        <v>6.8855111235048029E-4</v>
      </c>
    </row>
    <row r="30" spans="2:3" x14ac:dyDescent="0.3">
      <c r="B30" t="s">
        <v>35</v>
      </c>
      <c r="C30" s="18">
        <f>C28*C20</f>
        <v>9.3274102631514793E-3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Q1-4</vt:lpstr>
      <vt:lpstr>Q5-7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William C Beggs</dc:creator>
  <cp:lastModifiedBy>Jun Fei</cp:lastModifiedBy>
  <dcterms:created xsi:type="dcterms:W3CDTF">2022-12-08T22:25:39Z</dcterms:created>
  <dcterms:modified xsi:type="dcterms:W3CDTF">2025-03-10T15:30:31Z</dcterms:modified>
</cp:coreProperties>
</file>